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36134\Documents\R\MortalityTables\data-raw\"/>
    </mc:Choice>
  </mc:AlternateContent>
  <xr:revisionPtr revIDLastSave="0" documentId="13_ncr:20001_{28CD85C9-B3A0-4839-B6D3-8F13FE839CAC}" xr6:coauthVersionLast="47" xr6:coauthVersionMax="47" xr10:uidLastSave="{00000000-0000-0000-0000-000000000000}"/>
  <bookViews>
    <workbookView xWindow="8385" yWindow="5550" windowWidth="28155" windowHeight="13725" tabRatio="987" activeTab="1" xr2:uid="{00000000-000D-0000-FFFF-FFFF00000000}"/>
  </bookViews>
  <sheets>
    <sheet name="OeVM59-61 RR67" sheetId="1" r:id="rId1"/>
    <sheet name="EROM-F Basistafeln" sheetId="2" r:id="rId2"/>
    <sheet name="EROM-F G AV" sheetId="3" r:id="rId3"/>
    <sheet name="EROM-F Beispiel" sheetId="4" r:id="rId4"/>
    <sheet name="AVOe 1996R exakt" sheetId="5" r:id="rId5"/>
    <sheet name="AVOe 1996R Beispiel" sheetId="6" r:id="rId6"/>
    <sheet name="AVOe 2005R" sheetId="7" r:id="rId7"/>
    <sheet name="AVOe 2005R Beispiel" sheetId="8" r:id="rId8"/>
    <sheet name="AVOe 2005R AV Basistafel" sheetId="9" r:id="rId9"/>
    <sheet name="AVOe 2005R AV Verschiebung" sheetId="10" r:id="rId10"/>
  </sheets>
  <definedNames>
    <definedName name="_xlnm.Print_Area" localSheetId="6">'AVOe 2005R'!$A$1:$R$124</definedName>
    <definedName name="_xlnm.Print_Area" localSheetId="7">'AVOe 2005R Beispiel'!$A$1:$V$124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U125" i="8" l="1"/>
  <c r="T125" i="8"/>
  <c r="T124" i="8"/>
  <c r="U124" i="8" s="1"/>
  <c r="T123" i="8"/>
  <c r="U123" i="8" s="1"/>
  <c r="X122" i="8"/>
  <c r="W122" i="8"/>
  <c r="U122" i="8"/>
  <c r="V122" i="8" s="1"/>
  <c r="T122" i="8"/>
  <c r="T121" i="8"/>
  <c r="U121" i="8" s="1"/>
  <c r="W120" i="8"/>
  <c r="T120" i="8"/>
  <c r="U120" i="8" s="1"/>
  <c r="X120" i="8" s="1"/>
  <c r="T119" i="8"/>
  <c r="U119" i="8" s="1"/>
  <c r="X118" i="8"/>
  <c r="T118" i="8"/>
  <c r="U118" i="8" s="1"/>
  <c r="X117" i="8"/>
  <c r="W117" i="8"/>
  <c r="V117" i="8"/>
  <c r="T117" i="8"/>
  <c r="U117" i="8" s="1"/>
  <c r="T116" i="8"/>
  <c r="U116" i="8" s="1"/>
  <c r="T115" i="8"/>
  <c r="U115" i="8" s="1"/>
  <c r="T114" i="8"/>
  <c r="U114" i="8" s="1"/>
  <c r="X114" i="8" s="1"/>
  <c r="U113" i="8"/>
  <c r="T113" i="8"/>
  <c r="X112" i="8"/>
  <c r="T112" i="8"/>
  <c r="U112" i="8" s="1"/>
  <c r="T111" i="8"/>
  <c r="U111" i="8" s="1"/>
  <c r="X111" i="8" s="1"/>
  <c r="T110" i="8"/>
  <c r="U110" i="8" s="1"/>
  <c r="X109" i="8"/>
  <c r="T109" i="8"/>
  <c r="U109" i="8" s="1"/>
  <c r="W108" i="8"/>
  <c r="V108" i="8"/>
  <c r="T108" i="8"/>
  <c r="U108" i="8" s="1"/>
  <c r="X108" i="8" s="1"/>
  <c r="T107" i="8"/>
  <c r="U107" i="8" s="1"/>
  <c r="T106" i="8"/>
  <c r="U106" i="8" s="1"/>
  <c r="X105" i="8"/>
  <c r="T105" i="8"/>
  <c r="U105" i="8" s="1"/>
  <c r="X104" i="8"/>
  <c r="W104" i="8"/>
  <c r="U104" i="8"/>
  <c r="V104" i="8" s="1"/>
  <c r="T104" i="8"/>
  <c r="T103" i="8"/>
  <c r="U103" i="8" s="1"/>
  <c r="W102" i="8"/>
  <c r="T102" i="8"/>
  <c r="U102" i="8" s="1"/>
  <c r="X102" i="8" s="1"/>
  <c r="T101" i="8"/>
  <c r="U101" i="8" s="1"/>
  <c r="X100" i="8"/>
  <c r="T100" i="8"/>
  <c r="U100" i="8" s="1"/>
  <c r="X99" i="8"/>
  <c r="W99" i="8"/>
  <c r="V99" i="8"/>
  <c r="T99" i="8"/>
  <c r="U99" i="8" s="1"/>
  <c r="T98" i="8"/>
  <c r="U98" i="8" s="1"/>
  <c r="T97" i="8"/>
  <c r="U97" i="8" s="1"/>
  <c r="X96" i="8"/>
  <c r="T96" i="8"/>
  <c r="U96" i="8" s="1"/>
  <c r="W96" i="8" s="1"/>
  <c r="X95" i="8"/>
  <c r="W95" i="8"/>
  <c r="U95" i="8"/>
  <c r="V95" i="8" s="1"/>
  <c r="T95" i="8"/>
  <c r="X94" i="8"/>
  <c r="W94" i="8"/>
  <c r="T94" i="8"/>
  <c r="U94" i="8" s="1"/>
  <c r="V94" i="8" s="1"/>
  <c r="W93" i="8"/>
  <c r="V93" i="8"/>
  <c r="T93" i="8"/>
  <c r="U93" i="8" s="1"/>
  <c r="X93" i="8" s="1"/>
  <c r="U92" i="8"/>
  <c r="V92" i="8" s="1"/>
  <c r="T92" i="8"/>
  <c r="T91" i="8"/>
  <c r="U91" i="8" s="1"/>
  <c r="V91" i="8" s="1"/>
  <c r="W90" i="8"/>
  <c r="T90" i="8"/>
  <c r="U90" i="8" s="1"/>
  <c r="X90" i="8" s="1"/>
  <c r="U89" i="8"/>
  <c r="V89" i="8" s="1"/>
  <c r="T89" i="8"/>
  <c r="T88" i="8"/>
  <c r="U88" i="8" s="1"/>
  <c r="T87" i="8"/>
  <c r="U87" i="8" s="1"/>
  <c r="X87" i="8" s="1"/>
  <c r="X86" i="8"/>
  <c r="W86" i="8"/>
  <c r="U86" i="8"/>
  <c r="V86" i="8" s="1"/>
  <c r="T86" i="8"/>
  <c r="X85" i="8"/>
  <c r="W85" i="8"/>
  <c r="T85" i="8"/>
  <c r="U85" i="8" s="1"/>
  <c r="V85" i="8" s="1"/>
  <c r="W84" i="8"/>
  <c r="V84" i="8"/>
  <c r="T84" i="8"/>
  <c r="U84" i="8" s="1"/>
  <c r="X84" i="8" s="1"/>
  <c r="U83" i="8"/>
  <c r="T83" i="8"/>
  <c r="T82" i="8"/>
  <c r="U82" i="8" s="1"/>
  <c r="V82" i="8" s="1"/>
  <c r="W81" i="8"/>
  <c r="V81" i="8"/>
  <c r="T81" i="8"/>
  <c r="U81" i="8" s="1"/>
  <c r="X81" i="8" s="1"/>
  <c r="U80" i="8"/>
  <c r="V80" i="8" s="1"/>
  <c r="T80" i="8"/>
  <c r="T79" i="8"/>
  <c r="U79" i="8" s="1"/>
  <c r="T78" i="8"/>
  <c r="U78" i="8" s="1"/>
  <c r="X78" i="8" s="1"/>
  <c r="X77" i="8"/>
  <c r="W77" i="8"/>
  <c r="U77" i="8"/>
  <c r="V77" i="8" s="1"/>
  <c r="T77" i="8"/>
  <c r="X76" i="8"/>
  <c r="W76" i="8"/>
  <c r="T76" i="8"/>
  <c r="U76" i="8" s="1"/>
  <c r="V76" i="8" s="1"/>
  <c r="W75" i="8"/>
  <c r="V75" i="8"/>
  <c r="T75" i="8"/>
  <c r="U75" i="8" s="1"/>
  <c r="X75" i="8" s="1"/>
  <c r="U74" i="8"/>
  <c r="T74" i="8"/>
  <c r="T73" i="8"/>
  <c r="U73" i="8" s="1"/>
  <c r="V73" i="8" s="1"/>
  <c r="T72" i="8"/>
  <c r="U72" i="8" s="1"/>
  <c r="X72" i="8" s="1"/>
  <c r="U71" i="8"/>
  <c r="V71" i="8" s="1"/>
  <c r="T71" i="8"/>
  <c r="T70" i="8"/>
  <c r="U70" i="8" s="1"/>
  <c r="T69" i="8"/>
  <c r="U69" i="8" s="1"/>
  <c r="X69" i="8" s="1"/>
  <c r="X68" i="8"/>
  <c r="W68" i="8"/>
  <c r="U68" i="8"/>
  <c r="V68" i="8" s="1"/>
  <c r="T68" i="8"/>
  <c r="X67" i="8"/>
  <c r="W67" i="8"/>
  <c r="T67" i="8"/>
  <c r="U67" i="8" s="1"/>
  <c r="V67" i="8" s="1"/>
  <c r="W66" i="8"/>
  <c r="V66" i="8"/>
  <c r="T66" i="8"/>
  <c r="U66" i="8" s="1"/>
  <c r="X66" i="8" s="1"/>
  <c r="U65" i="8"/>
  <c r="V65" i="8" s="1"/>
  <c r="T65" i="8"/>
  <c r="T64" i="8"/>
  <c r="U64" i="8" s="1"/>
  <c r="V64" i="8" s="1"/>
  <c r="W63" i="8"/>
  <c r="T63" i="8"/>
  <c r="U63" i="8" s="1"/>
  <c r="X63" i="8" s="1"/>
  <c r="U62" i="8"/>
  <c r="V62" i="8" s="1"/>
  <c r="T62" i="8"/>
  <c r="T61" i="8"/>
  <c r="U61" i="8" s="1"/>
  <c r="T60" i="8"/>
  <c r="U60" i="8" s="1"/>
  <c r="X60" i="8" s="1"/>
  <c r="X59" i="8"/>
  <c r="W59" i="8"/>
  <c r="U59" i="8"/>
  <c r="V59" i="8" s="1"/>
  <c r="T59" i="8"/>
  <c r="X58" i="8"/>
  <c r="W58" i="8"/>
  <c r="T58" i="8"/>
  <c r="U58" i="8" s="1"/>
  <c r="V58" i="8" s="1"/>
  <c r="W57" i="8"/>
  <c r="T57" i="8"/>
  <c r="U57" i="8" s="1"/>
  <c r="X56" i="8"/>
  <c r="W56" i="8"/>
  <c r="U56" i="8"/>
  <c r="V56" i="8" s="1"/>
  <c r="T56" i="8"/>
  <c r="X55" i="8"/>
  <c r="T55" i="8"/>
  <c r="U55" i="8" s="1"/>
  <c r="V55" i="8" s="1"/>
  <c r="T54" i="8"/>
  <c r="U54" i="8" s="1"/>
  <c r="T53" i="8"/>
  <c r="U53" i="8" s="1"/>
  <c r="X52" i="8"/>
  <c r="W52" i="8"/>
  <c r="T52" i="8"/>
  <c r="U52" i="8" s="1"/>
  <c r="V52" i="8" s="1"/>
  <c r="W51" i="8"/>
  <c r="T51" i="8"/>
  <c r="U51" i="8" s="1"/>
  <c r="X50" i="8"/>
  <c r="W50" i="8"/>
  <c r="U50" i="8"/>
  <c r="V50" i="8" s="1"/>
  <c r="T50" i="8"/>
  <c r="X49" i="8"/>
  <c r="T49" i="8"/>
  <c r="U49" i="8" s="1"/>
  <c r="V49" i="8" s="1"/>
  <c r="X48" i="8"/>
  <c r="T48" i="8"/>
  <c r="U48" i="8" s="1"/>
  <c r="T47" i="8"/>
  <c r="U47" i="8" s="1"/>
  <c r="X46" i="8"/>
  <c r="W46" i="8"/>
  <c r="T46" i="8"/>
  <c r="U46" i="8" s="1"/>
  <c r="V46" i="8" s="1"/>
  <c r="T45" i="8"/>
  <c r="U45" i="8" s="1"/>
  <c r="X44" i="8"/>
  <c r="W44" i="8"/>
  <c r="U44" i="8"/>
  <c r="V44" i="8" s="1"/>
  <c r="T44" i="8"/>
  <c r="U43" i="8"/>
  <c r="T43" i="8"/>
  <c r="U42" i="8"/>
  <c r="X42" i="8" s="1"/>
  <c r="T42" i="8"/>
  <c r="T41" i="8"/>
  <c r="U41" i="8" s="1"/>
  <c r="T40" i="8"/>
  <c r="U40" i="8" s="1"/>
  <c r="U39" i="8"/>
  <c r="T39" i="8"/>
  <c r="T38" i="8"/>
  <c r="U38" i="8" s="1"/>
  <c r="X37" i="8"/>
  <c r="W37" i="8"/>
  <c r="U37" i="8"/>
  <c r="V37" i="8" s="1"/>
  <c r="T37" i="8"/>
  <c r="V36" i="8"/>
  <c r="T36" i="8"/>
  <c r="U36" i="8" s="1"/>
  <c r="X35" i="8"/>
  <c r="W35" i="8"/>
  <c r="U35" i="8"/>
  <c r="V35" i="8" s="1"/>
  <c r="T35" i="8"/>
  <c r="X34" i="8"/>
  <c r="U34" i="8"/>
  <c r="T34" i="8"/>
  <c r="X33" i="8"/>
  <c r="U33" i="8"/>
  <c r="W33" i="8" s="1"/>
  <c r="T33" i="8"/>
  <c r="T32" i="8"/>
  <c r="U32" i="8" s="1"/>
  <c r="T31" i="8"/>
  <c r="U31" i="8" s="1"/>
  <c r="X30" i="8"/>
  <c r="W30" i="8"/>
  <c r="U30" i="8"/>
  <c r="V30" i="8" s="1"/>
  <c r="T30" i="8"/>
  <c r="T29" i="8"/>
  <c r="U29" i="8" s="1"/>
  <c r="X28" i="8"/>
  <c r="W28" i="8"/>
  <c r="U28" i="8"/>
  <c r="V28" i="8" s="1"/>
  <c r="T28" i="8"/>
  <c r="T27" i="8"/>
  <c r="U27" i="8" s="1"/>
  <c r="X26" i="8"/>
  <c r="W26" i="8"/>
  <c r="U26" i="8"/>
  <c r="V26" i="8" s="1"/>
  <c r="T26" i="8"/>
  <c r="U25" i="8"/>
  <c r="T25" i="8"/>
  <c r="X24" i="8"/>
  <c r="U24" i="8"/>
  <c r="W24" i="8" s="1"/>
  <c r="T24" i="8"/>
  <c r="W23" i="8"/>
  <c r="U23" i="8"/>
  <c r="T23" i="8"/>
  <c r="T22" i="8"/>
  <c r="U22" i="8" s="1"/>
  <c r="X21" i="8"/>
  <c r="W21" i="8"/>
  <c r="V21" i="8"/>
  <c r="U21" i="8"/>
  <c r="T21" i="8"/>
  <c r="T20" i="8"/>
  <c r="U20" i="8" s="1"/>
  <c r="X19" i="8"/>
  <c r="W19" i="8"/>
  <c r="U19" i="8"/>
  <c r="V19" i="8" s="1"/>
  <c r="T19" i="8"/>
  <c r="T18" i="8"/>
  <c r="U18" i="8" s="1"/>
  <c r="X17" i="8"/>
  <c r="W17" i="8"/>
  <c r="U17" i="8"/>
  <c r="V17" i="8" s="1"/>
  <c r="T17" i="8"/>
  <c r="T16" i="8"/>
  <c r="U16" i="8" s="1"/>
  <c r="X15" i="8"/>
  <c r="U15" i="8"/>
  <c r="W15" i="8" s="1"/>
  <c r="T15" i="8"/>
  <c r="W14" i="8"/>
  <c r="U14" i="8"/>
  <c r="T14" i="8"/>
  <c r="T13" i="8"/>
  <c r="U13" i="8" s="1"/>
  <c r="V12" i="8"/>
  <c r="U12" i="8"/>
  <c r="T12" i="8"/>
  <c r="T11" i="8"/>
  <c r="U11" i="8" s="1"/>
  <c r="X10" i="8"/>
  <c r="W10" i="8"/>
  <c r="U10" i="8"/>
  <c r="V10" i="8" s="1"/>
  <c r="T10" i="8"/>
  <c r="V9" i="8"/>
  <c r="T9" i="8"/>
  <c r="U9" i="8" s="1"/>
  <c r="X8" i="8"/>
  <c r="W8" i="8"/>
  <c r="U8" i="8"/>
  <c r="V8" i="8" s="1"/>
  <c r="T8" i="8"/>
  <c r="T7" i="8"/>
  <c r="U7" i="8" s="1"/>
  <c r="X6" i="8"/>
  <c r="U6" i="8"/>
  <c r="W6" i="8" s="1"/>
  <c r="T6" i="8"/>
  <c r="T5" i="8"/>
  <c r="U5" i="8" s="1"/>
  <c r="T4" i="8"/>
  <c r="U4" i="8" s="1"/>
  <c r="S2" i="8"/>
  <c r="AB1" i="8"/>
  <c r="S1" i="8"/>
  <c r="W117" i="6"/>
  <c r="V117" i="6"/>
  <c r="U117" i="6"/>
  <c r="R117" i="6"/>
  <c r="S117" i="6" s="1"/>
  <c r="Q117" i="6"/>
  <c r="P117" i="6"/>
  <c r="O117" i="6"/>
  <c r="N117" i="6"/>
  <c r="T117" i="6" s="1"/>
  <c r="W116" i="6"/>
  <c r="R116" i="6"/>
  <c r="S116" i="6" s="1"/>
  <c r="V116" i="6" s="1"/>
  <c r="Q116" i="6"/>
  <c r="P116" i="6"/>
  <c r="O116" i="6"/>
  <c r="U116" i="6" s="1"/>
  <c r="Z116" i="6" s="1"/>
  <c r="N116" i="6"/>
  <c r="T116" i="6" s="1"/>
  <c r="S115" i="6"/>
  <c r="W115" i="6" s="1"/>
  <c r="R115" i="6"/>
  <c r="Q115" i="6"/>
  <c r="P115" i="6"/>
  <c r="V115" i="6" s="1"/>
  <c r="O115" i="6"/>
  <c r="U115" i="6" s="1"/>
  <c r="N115" i="6"/>
  <c r="T115" i="6" s="1"/>
  <c r="R114" i="6"/>
  <c r="S114" i="6" s="1"/>
  <c r="Q114" i="6"/>
  <c r="P114" i="6"/>
  <c r="O114" i="6"/>
  <c r="N114" i="6"/>
  <c r="S113" i="6"/>
  <c r="R113" i="6"/>
  <c r="Q113" i="6"/>
  <c r="P113" i="6"/>
  <c r="O113" i="6"/>
  <c r="N113" i="6"/>
  <c r="R112" i="6"/>
  <c r="S112" i="6" s="1"/>
  <c r="Q112" i="6"/>
  <c r="P112" i="6"/>
  <c r="O112" i="6"/>
  <c r="N112" i="6"/>
  <c r="W111" i="6"/>
  <c r="S111" i="6"/>
  <c r="R111" i="6"/>
  <c r="Q111" i="6"/>
  <c r="P111" i="6"/>
  <c r="O111" i="6"/>
  <c r="N111" i="6"/>
  <c r="W110" i="6"/>
  <c r="V110" i="6"/>
  <c r="U110" i="6"/>
  <c r="T110" i="6"/>
  <c r="S110" i="6"/>
  <c r="R110" i="6"/>
  <c r="Q110" i="6"/>
  <c r="P110" i="6"/>
  <c r="O110" i="6"/>
  <c r="N110" i="6"/>
  <c r="W109" i="6"/>
  <c r="V109" i="6"/>
  <c r="R109" i="6"/>
  <c r="S109" i="6" s="1"/>
  <c r="Q109" i="6"/>
  <c r="P109" i="6"/>
  <c r="O109" i="6"/>
  <c r="U109" i="6" s="1"/>
  <c r="N109" i="6"/>
  <c r="T109" i="6" s="1"/>
  <c r="R108" i="6"/>
  <c r="S108" i="6" s="1"/>
  <c r="Q108" i="6"/>
  <c r="W108" i="6" s="1"/>
  <c r="P108" i="6"/>
  <c r="V108" i="6" s="1"/>
  <c r="O108" i="6"/>
  <c r="N108" i="6"/>
  <c r="T108" i="6" s="1"/>
  <c r="S107" i="6"/>
  <c r="R107" i="6"/>
  <c r="Q107" i="6"/>
  <c r="P107" i="6"/>
  <c r="V107" i="6" s="1"/>
  <c r="O107" i="6"/>
  <c r="U107" i="6" s="1"/>
  <c r="N107" i="6"/>
  <c r="T107" i="6" s="1"/>
  <c r="U106" i="6"/>
  <c r="S106" i="6"/>
  <c r="T106" i="6" s="1"/>
  <c r="R106" i="6"/>
  <c r="Q106" i="6"/>
  <c r="P106" i="6"/>
  <c r="V106" i="6" s="1"/>
  <c r="O106" i="6"/>
  <c r="N106" i="6"/>
  <c r="T105" i="6"/>
  <c r="S105" i="6"/>
  <c r="V105" i="6" s="1"/>
  <c r="R105" i="6"/>
  <c r="Q105" i="6"/>
  <c r="P105" i="6"/>
  <c r="O105" i="6"/>
  <c r="N105" i="6"/>
  <c r="W104" i="6"/>
  <c r="V104" i="6"/>
  <c r="U104" i="6"/>
  <c r="T104" i="6"/>
  <c r="S104" i="6"/>
  <c r="R104" i="6"/>
  <c r="Q104" i="6"/>
  <c r="P104" i="6"/>
  <c r="O104" i="6"/>
  <c r="N104" i="6"/>
  <c r="W103" i="6"/>
  <c r="R103" i="6"/>
  <c r="S103" i="6" s="1"/>
  <c r="V103" i="6" s="1"/>
  <c r="Q103" i="6"/>
  <c r="P103" i="6"/>
  <c r="O103" i="6"/>
  <c r="U103" i="6" s="1"/>
  <c r="N103" i="6"/>
  <c r="T103" i="6" s="1"/>
  <c r="R102" i="6"/>
  <c r="S102" i="6" s="1"/>
  <c r="Q102" i="6"/>
  <c r="P102" i="6"/>
  <c r="O102" i="6"/>
  <c r="N102" i="6"/>
  <c r="S101" i="6"/>
  <c r="R101" i="6"/>
  <c r="Q101" i="6"/>
  <c r="P101" i="6"/>
  <c r="O101" i="6"/>
  <c r="U101" i="6" s="1"/>
  <c r="N101" i="6"/>
  <c r="R100" i="6"/>
  <c r="S100" i="6" s="1"/>
  <c r="Q100" i="6"/>
  <c r="P100" i="6"/>
  <c r="O100" i="6"/>
  <c r="N100" i="6"/>
  <c r="S99" i="6"/>
  <c r="R99" i="6"/>
  <c r="Q99" i="6"/>
  <c r="P99" i="6"/>
  <c r="O99" i="6"/>
  <c r="N99" i="6"/>
  <c r="W98" i="6"/>
  <c r="V98" i="6"/>
  <c r="U98" i="6"/>
  <c r="T98" i="6"/>
  <c r="S98" i="6"/>
  <c r="R98" i="6"/>
  <c r="Q98" i="6"/>
  <c r="P98" i="6"/>
  <c r="O98" i="6"/>
  <c r="N98" i="6"/>
  <c r="W97" i="6"/>
  <c r="V97" i="6"/>
  <c r="R97" i="6"/>
  <c r="S97" i="6" s="1"/>
  <c r="Q97" i="6"/>
  <c r="P97" i="6"/>
  <c r="O97" i="6"/>
  <c r="U97" i="6" s="1"/>
  <c r="N97" i="6"/>
  <c r="T97" i="6" s="1"/>
  <c r="R96" i="6"/>
  <c r="S96" i="6" s="1"/>
  <c r="Q96" i="6"/>
  <c r="W96" i="6" s="1"/>
  <c r="P96" i="6"/>
  <c r="V96" i="6" s="1"/>
  <c r="O96" i="6"/>
  <c r="N96" i="6"/>
  <c r="T96" i="6" s="1"/>
  <c r="S95" i="6"/>
  <c r="R95" i="6"/>
  <c r="Q95" i="6"/>
  <c r="P95" i="6"/>
  <c r="V95" i="6" s="1"/>
  <c r="O95" i="6"/>
  <c r="U95" i="6" s="1"/>
  <c r="N95" i="6"/>
  <c r="U94" i="6"/>
  <c r="S94" i="6"/>
  <c r="T94" i="6" s="1"/>
  <c r="R94" i="6"/>
  <c r="Q94" i="6"/>
  <c r="P94" i="6"/>
  <c r="V94" i="6" s="1"/>
  <c r="O94" i="6"/>
  <c r="N94" i="6"/>
  <c r="T93" i="6"/>
  <c r="S93" i="6"/>
  <c r="V93" i="6" s="1"/>
  <c r="R93" i="6"/>
  <c r="Q93" i="6"/>
  <c r="P93" i="6"/>
  <c r="O93" i="6"/>
  <c r="N93" i="6"/>
  <c r="W92" i="6"/>
  <c r="V92" i="6"/>
  <c r="U92" i="6"/>
  <c r="T92" i="6"/>
  <c r="S92" i="6"/>
  <c r="R92" i="6"/>
  <c r="Q92" i="6"/>
  <c r="P92" i="6"/>
  <c r="O92" i="6"/>
  <c r="N92" i="6"/>
  <c r="W91" i="6"/>
  <c r="R91" i="6"/>
  <c r="S91" i="6" s="1"/>
  <c r="V91" i="6" s="1"/>
  <c r="Q91" i="6"/>
  <c r="P91" i="6"/>
  <c r="O91" i="6"/>
  <c r="U91" i="6" s="1"/>
  <c r="N91" i="6"/>
  <c r="T91" i="6" s="1"/>
  <c r="R90" i="6"/>
  <c r="S90" i="6" s="1"/>
  <c r="Q90" i="6"/>
  <c r="P90" i="6"/>
  <c r="O90" i="6"/>
  <c r="N90" i="6"/>
  <c r="S89" i="6"/>
  <c r="R89" i="6"/>
  <c r="Q89" i="6"/>
  <c r="P89" i="6"/>
  <c r="O89" i="6"/>
  <c r="U89" i="6" s="1"/>
  <c r="N89" i="6"/>
  <c r="R88" i="6"/>
  <c r="S88" i="6" s="1"/>
  <c r="Q88" i="6"/>
  <c r="P88" i="6"/>
  <c r="O88" i="6"/>
  <c r="N88" i="6"/>
  <c r="S87" i="6"/>
  <c r="W87" i="6" s="1"/>
  <c r="R87" i="6"/>
  <c r="Q87" i="6"/>
  <c r="P87" i="6"/>
  <c r="O87" i="6"/>
  <c r="N87" i="6"/>
  <c r="W86" i="6"/>
  <c r="V86" i="6"/>
  <c r="U86" i="6"/>
  <c r="T86" i="6"/>
  <c r="S86" i="6"/>
  <c r="R86" i="6"/>
  <c r="Q86" i="6"/>
  <c r="P86" i="6"/>
  <c r="O86" i="6"/>
  <c r="N86" i="6"/>
  <c r="W85" i="6"/>
  <c r="V85" i="6"/>
  <c r="R85" i="6"/>
  <c r="S85" i="6" s="1"/>
  <c r="Q85" i="6"/>
  <c r="P85" i="6"/>
  <c r="O85" i="6"/>
  <c r="U85" i="6" s="1"/>
  <c r="N85" i="6"/>
  <c r="T85" i="6" s="1"/>
  <c r="R84" i="6"/>
  <c r="S84" i="6" s="1"/>
  <c r="Q84" i="6"/>
  <c r="W84" i="6" s="1"/>
  <c r="P84" i="6"/>
  <c r="V84" i="6" s="1"/>
  <c r="O84" i="6"/>
  <c r="N84" i="6"/>
  <c r="T84" i="6" s="1"/>
  <c r="S83" i="6"/>
  <c r="R83" i="6"/>
  <c r="Q83" i="6"/>
  <c r="P83" i="6"/>
  <c r="V83" i="6" s="1"/>
  <c r="O83" i="6"/>
  <c r="U83" i="6" s="1"/>
  <c r="N83" i="6"/>
  <c r="U82" i="6"/>
  <c r="S82" i="6"/>
  <c r="T82" i="6" s="1"/>
  <c r="R82" i="6"/>
  <c r="Q82" i="6"/>
  <c r="P82" i="6"/>
  <c r="V82" i="6" s="1"/>
  <c r="O82" i="6"/>
  <c r="N82" i="6"/>
  <c r="T81" i="6"/>
  <c r="S81" i="6"/>
  <c r="V81" i="6" s="1"/>
  <c r="R81" i="6"/>
  <c r="Q81" i="6"/>
  <c r="P81" i="6"/>
  <c r="O81" i="6"/>
  <c r="N81" i="6"/>
  <c r="W80" i="6"/>
  <c r="V80" i="6"/>
  <c r="U80" i="6"/>
  <c r="T80" i="6"/>
  <c r="S80" i="6"/>
  <c r="R80" i="6"/>
  <c r="Q80" i="6"/>
  <c r="P80" i="6"/>
  <c r="O80" i="6"/>
  <c r="N80" i="6"/>
  <c r="R79" i="6"/>
  <c r="S79" i="6" s="1"/>
  <c r="W79" i="6" s="1"/>
  <c r="Q79" i="6"/>
  <c r="P79" i="6"/>
  <c r="O79" i="6"/>
  <c r="U79" i="6" s="1"/>
  <c r="N79" i="6"/>
  <c r="R78" i="6"/>
  <c r="S78" i="6" s="1"/>
  <c r="Q78" i="6"/>
  <c r="W78" i="6" s="1"/>
  <c r="P78" i="6"/>
  <c r="V78" i="6" s="1"/>
  <c r="O78" i="6"/>
  <c r="U78" i="6" s="1"/>
  <c r="N78" i="6"/>
  <c r="T78" i="6" s="1"/>
  <c r="S77" i="6"/>
  <c r="R77" i="6"/>
  <c r="Q77" i="6"/>
  <c r="P77" i="6"/>
  <c r="O77" i="6"/>
  <c r="N77" i="6"/>
  <c r="S76" i="6"/>
  <c r="T76" i="6" s="1"/>
  <c r="R76" i="6"/>
  <c r="Q76" i="6"/>
  <c r="P76" i="6"/>
  <c r="O76" i="6"/>
  <c r="U76" i="6" s="1"/>
  <c r="N76" i="6"/>
  <c r="R75" i="6"/>
  <c r="S75" i="6" s="1"/>
  <c r="Q75" i="6"/>
  <c r="P75" i="6"/>
  <c r="O75" i="6"/>
  <c r="N75" i="6"/>
  <c r="S74" i="6"/>
  <c r="R74" i="6"/>
  <c r="Q74" i="6"/>
  <c r="P74" i="6"/>
  <c r="O74" i="6"/>
  <c r="N74" i="6"/>
  <c r="R73" i="6"/>
  <c r="S73" i="6" s="1"/>
  <c r="Q73" i="6"/>
  <c r="P73" i="6"/>
  <c r="O73" i="6"/>
  <c r="U73" i="6" s="1"/>
  <c r="N73" i="6"/>
  <c r="T73" i="6" s="1"/>
  <c r="S72" i="6"/>
  <c r="T72" i="6" s="1"/>
  <c r="R72" i="6"/>
  <c r="Q72" i="6"/>
  <c r="P72" i="6"/>
  <c r="O72" i="6"/>
  <c r="N72" i="6"/>
  <c r="R71" i="6"/>
  <c r="S71" i="6" s="1"/>
  <c r="V71" i="6" s="1"/>
  <c r="Q71" i="6"/>
  <c r="P71" i="6"/>
  <c r="O71" i="6"/>
  <c r="N71" i="6"/>
  <c r="T71" i="6" s="1"/>
  <c r="S70" i="6"/>
  <c r="W70" i="6" s="1"/>
  <c r="R70" i="6"/>
  <c r="Q70" i="6"/>
  <c r="P70" i="6"/>
  <c r="O70" i="6"/>
  <c r="N70" i="6"/>
  <c r="V69" i="6"/>
  <c r="U69" i="6"/>
  <c r="R69" i="6"/>
  <c r="S69" i="6" s="1"/>
  <c r="Q69" i="6"/>
  <c r="W69" i="6" s="1"/>
  <c r="P69" i="6"/>
  <c r="O69" i="6"/>
  <c r="N69" i="6"/>
  <c r="W68" i="6"/>
  <c r="S68" i="6"/>
  <c r="T68" i="6" s="1"/>
  <c r="R68" i="6"/>
  <c r="Q68" i="6"/>
  <c r="P68" i="6"/>
  <c r="V68" i="6" s="1"/>
  <c r="O68" i="6"/>
  <c r="U68" i="6" s="1"/>
  <c r="N68" i="6"/>
  <c r="R67" i="6"/>
  <c r="S67" i="6" s="1"/>
  <c r="Q67" i="6"/>
  <c r="W67" i="6" s="1"/>
  <c r="P67" i="6"/>
  <c r="O67" i="6"/>
  <c r="N67" i="6"/>
  <c r="T67" i="6" s="1"/>
  <c r="T66" i="6"/>
  <c r="S66" i="6"/>
  <c r="W66" i="6" s="1"/>
  <c r="R66" i="6"/>
  <c r="Q66" i="6"/>
  <c r="P66" i="6"/>
  <c r="V66" i="6" s="1"/>
  <c r="O66" i="6"/>
  <c r="N66" i="6"/>
  <c r="U65" i="6"/>
  <c r="R65" i="6"/>
  <c r="S65" i="6" s="1"/>
  <c r="V65" i="6" s="1"/>
  <c r="Q65" i="6"/>
  <c r="P65" i="6"/>
  <c r="O65" i="6"/>
  <c r="N65" i="6"/>
  <c r="W64" i="6"/>
  <c r="T64" i="6"/>
  <c r="S64" i="6"/>
  <c r="R64" i="6"/>
  <c r="Q64" i="6"/>
  <c r="P64" i="6"/>
  <c r="V64" i="6" s="1"/>
  <c r="O64" i="6"/>
  <c r="U64" i="6" s="1"/>
  <c r="N64" i="6"/>
  <c r="R63" i="6"/>
  <c r="S63" i="6" s="1"/>
  <c r="Q63" i="6"/>
  <c r="W63" i="6" s="1"/>
  <c r="P63" i="6"/>
  <c r="O63" i="6"/>
  <c r="N63" i="6"/>
  <c r="W62" i="6"/>
  <c r="S62" i="6"/>
  <c r="R62" i="6"/>
  <c r="Q62" i="6"/>
  <c r="P62" i="6"/>
  <c r="V62" i="6" s="1"/>
  <c r="O62" i="6"/>
  <c r="U62" i="6" s="1"/>
  <c r="N62" i="6"/>
  <c r="T62" i="6" s="1"/>
  <c r="R61" i="6"/>
  <c r="S61" i="6" s="1"/>
  <c r="U61" i="6" s="1"/>
  <c r="Q61" i="6"/>
  <c r="W61" i="6" s="1"/>
  <c r="P61" i="6"/>
  <c r="V61" i="6" s="1"/>
  <c r="O61" i="6"/>
  <c r="N61" i="6"/>
  <c r="T61" i="6" s="1"/>
  <c r="T60" i="6"/>
  <c r="S60" i="6"/>
  <c r="W60" i="6" s="1"/>
  <c r="R60" i="6"/>
  <c r="Q60" i="6"/>
  <c r="P60" i="6"/>
  <c r="O60" i="6"/>
  <c r="N60" i="6"/>
  <c r="V59" i="6"/>
  <c r="U59" i="6"/>
  <c r="R59" i="6"/>
  <c r="S59" i="6" s="1"/>
  <c r="T59" i="6" s="1"/>
  <c r="Q59" i="6"/>
  <c r="W59" i="6" s="1"/>
  <c r="P59" i="6"/>
  <c r="O59" i="6"/>
  <c r="N59" i="6"/>
  <c r="W58" i="6"/>
  <c r="S58" i="6"/>
  <c r="V58" i="6" s="1"/>
  <c r="R58" i="6"/>
  <c r="Q58" i="6"/>
  <c r="P58" i="6"/>
  <c r="O58" i="6"/>
  <c r="U58" i="6" s="1"/>
  <c r="N58" i="6"/>
  <c r="R57" i="6"/>
  <c r="S57" i="6" s="1"/>
  <c r="V57" i="6" s="1"/>
  <c r="Q57" i="6"/>
  <c r="P57" i="6"/>
  <c r="O57" i="6"/>
  <c r="N57" i="6"/>
  <c r="W56" i="6"/>
  <c r="S56" i="6"/>
  <c r="R56" i="6"/>
  <c r="Q56" i="6"/>
  <c r="P56" i="6"/>
  <c r="V56" i="6" s="1"/>
  <c r="O56" i="6"/>
  <c r="U56" i="6" s="1"/>
  <c r="N56" i="6"/>
  <c r="T56" i="6" s="1"/>
  <c r="R55" i="6"/>
  <c r="S55" i="6" s="1"/>
  <c r="U55" i="6" s="1"/>
  <c r="Q55" i="6"/>
  <c r="P55" i="6"/>
  <c r="O55" i="6"/>
  <c r="N55" i="6"/>
  <c r="T55" i="6" s="1"/>
  <c r="S54" i="6"/>
  <c r="R54" i="6"/>
  <c r="Q54" i="6"/>
  <c r="P54" i="6"/>
  <c r="O54" i="6"/>
  <c r="N54" i="6"/>
  <c r="R53" i="6"/>
  <c r="S53" i="6" s="1"/>
  <c r="Q53" i="6"/>
  <c r="W53" i="6" s="1"/>
  <c r="P53" i="6"/>
  <c r="O53" i="6"/>
  <c r="N53" i="6"/>
  <c r="T53" i="6" s="1"/>
  <c r="S52" i="6"/>
  <c r="W52" i="6" s="1"/>
  <c r="R52" i="6"/>
  <c r="Q52" i="6"/>
  <c r="P52" i="6"/>
  <c r="O52" i="6"/>
  <c r="U52" i="6" s="1"/>
  <c r="N52" i="6"/>
  <c r="V51" i="6"/>
  <c r="U51" i="6"/>
  <c r="R51" i="6"/>
  <c r="S51" i="6" s="1"/>
  <c r="Q51" i="6"/>
  <c r="W51" i="6" s="1"/>
  <c r="P51" i="6"/>
  <c r="O51" i="6"/>
  <c r="N51" i="6"/>
  <c r="T51" i="6" s="1"/>
  <c r="W50" i="6"/>
  <c r="S50" i="6"/>
  <c r="R50" i="6"/>
  <c r="Q50" i="6"/>
  <c r="P50" i="6"/>
  <c r="V50" i="6" s="1"/>
  <c r="O50" i="6"/>
  <c r="N50" i="6"/>
  <c r="U49" i="6"/>
  <c r="R49" i="6"/>
  <c r="S49" i="6" s="1"/>
  <c r="Q49" i="6"/>
  <c r="W49" i="6" s="1"/>
  <c r="P49" i="6"/>
  <c r="V49" i="6" s="1"/>
  <c r="O49" i="6"/>
  <c r="N49" i="6"/>
  <c r="W48" i="6"/>
  <c r="S48" i="6"/>
  <c r="T48" i="6" s="1"/>
  <c r="R48" i="6"/>
  <c r="Q48" i="6"/>
  <c r="P48" i="6"/>
  <c r="V48" i="6" s="1"/>
  <c r="O48" i="6"/>
  <c r="U48" i="6" s="1"/>
  <c r="N48" i="6"/>
  <c r="R47" i="6"/>
  <c r="S47" i="6" s="1"/>
  <c r="Q47" i="6"/>
  <c r="P47" i="6"/>
  <c r="O47" i="6"/>
  <c r="N47" i="6"/>
  <c r="S46" i="6"/>
  <c r="W46" i="6" s="1"/>
  <c r="R46" i="6"/>
  <c r="Q46" i="6"/>
  <c r="P46" i="6"/>
  <c r="V46" i="6" s="1"/>
  <c r="O46" i="6"/>
  <c r="U46" i="6" s="1"/>
  <c r="N46" i="6"/>
  <c r="V45" i="6"/>
  <c r="U45" i="6"/>
  <c r="R45" i="6"/>
  <c r="S45" i="6" s="1"/>
  <c r="Q45" i="6"/>
  <c r="W45" i="6" s="1"/>
  <c r="P45" i="6"/>
  <c r="O45" i="6"/>
  <c r="N45" i="6"/>
  <c r="S44" i="6"/>
  <c r="W44" i="6" s="1"/>
  <c r="R44" i="6"/>
  <c r="Q44" i="6"/>
  <c r="P44" i="6"/>
  <c r="V44" i="6" s="1"/>
  <c r="O44" i="6"/>
  <c r="U44" i="6" s="1"/>
  <c r="N44" i="6"/>
  <c r="T44" i="6" s="1"/>
  <c r="R43" i="6"/>
  <c r="S43" i="6" s="1"/>
  <c r="U43" i="6" s="1"/>
  <c r="Q43" i="6"/>
  <c r="P43" i="6"/>
  <c r="O43" i="6"/>
  <c r="N43" i="6"/>
  <c r="S42" i="6"/>
  <c r="R42" i="6"/>
  <c r="Q42" i="6"/>
  <c r="P42" i="6"/>
  <c r="O42" i="6"/>
  <c r="U42" i="6" s="1"/>
  <c r="N42" i="6"/>
  <c r="R41" i="6"/>
  <c r="S41" i="6" s="1"/>
  <c r="Q41" i="6"/>
  <c r="P41" i="6"/>
  <c r="O41" i="6"/>
  <c r="N41" i="6"/>
  <c r="W40" i="6"/>
  <c r="T40" i="6"/>
  <c r="S40" i="6"/>
  <c r="R40" i="6"/>
  <c r="Q40" i="6"/>
  <c r="P40" i="6"/>
  <c r="V40" i="6" s="1"/>
  <c r="O40" i="6"/>
  <c r="U40" i="6" s="1"/>
  <c r="N40" i="6"/>
  <c r="R39" i="6"/>
  <c r="S39" i="6" s="1"/>
  <c r="Q39" i="6"/>
  <c r="W39" i="6" s="1"/>
  <c r="P39" i="6"/>
  <c r="O39" i="6"/>
  <c r="N39" i="6"/>
  <c r="S38" i="6"/>
  <c r="W38" i="6" s="1"/>
  <c r="R38" i="6"/>
  <c r="Q38" i="6"/>
  <c r="P38" i="6"/>
  <c r="O38" i="6"/>
  <c r="U38" i="6" s="1"/>
  <c r="N38" i="6"/>
  <c r="T38" i="6" s="1"/>
  <c r="R37" i="6"/>
  <c r="S37" i="6" s="1"/>
  <c r="U37" i="6" s="1"/>
  <c r="Q37" i="6"/>
  <c r="P37" i="6"/>
  <c r="O37" i="6"/>
  <c r="N37" i="6"/>
  <c r="T37" i="6" s="1"/>
  <c r="S36" i="6"/>
  <c r="W36" i="6" s="1"/>
  <c r="R36" i="6"/>
  <c r="Q36" i="6"/>
  <c r="P36" i="6"/>
  <c r="O36" i="6"/>
  <c r="N36" i="6"/>
  <c r="V35" i="6"/>
  <c r="U35" i="6"/>
  <c r="R35" i="6"/>
  <c r="S35" i="6" s="1"/>
  <c r="Q35" i="6"/>
  <c r="P35" i="6"/>
  <c r="O35" i="6"/>
  <c r="N35" i="6"/>
  <c r="W34" i="6"/>
  <c r="T34" i="6"/>
  <c r="S34" i="6"/>
  <c r="R34" i="6"/>
  <c r="Q34" i="6"/>
  <c r="P34" i="6"/>
  <c r="V34" i="6" s="1"/>
  <c r="O34" i="6"/>
  <c r="N34" i="6"/>
  <c r="R33" i="6"/>
  <c r="S33" i="6" s="1"/>
  <c r="Q33" i="6"/>
  <c r="P33" i="6"/>
  <c r="O33" i="6"/>
  <c r="N33" i="6"/>
  <c r="S32" i="6"/>
  <c r="W32" i="6" s="1"/>
  <c r="R32" i="6"/>
  <c r="Q32" i="6"/>
  <c r="P32" i="6"/>
  <c r="O32" i="6"/>
  <c r="N32" i="6"/>
  <c r="U31" i="6"/>
  <c r="R31" i="6"/>
  <c r="S31" i="6" s="1"/>
  <c r="Q31" i="6"/>
  <c r="P31" i="6"/>
  <c r="V31" i="6" s="1"/>
  <c r="O31" i="6"/>
  <c r="N31" i="6"/>
  <c r="T30" i="6"/>
  <c r="S30" i="6"/>
  <c r="W30" i="6" s="1"/>
  <c r="R30" i="6"/>
  <c r="Q30" i="6"/>
  <c r="P30" i="6"/>
  <c r="V30" i="6" s="1"/>
  <c r="O30" i="6"/>
  <c r="N30" i="6"/>
  <c r="V29" i="6"/>
  <c r="R29" i="6"/>
  <c r="S29" i="6" s="1"/>
  <c r="U29" i="6" s="1"/>
  <c r="Q29" i="6"/>
  <c r="W29" i="6" s="1"/>
  <c r="P29" i="6"/>
  <c r="O29" i="6"/>
  <c r="N29" i="6"/>
  <c r="T29" i="6" s="1"/>
  <c r="S28" i="6"/>
  <c r="R28" i="6"/>
  <c r="Q28" i="6"/>
  <c r="P28" i="6"/>
  <c r="O28" i="6"/>
  <c r="N28" i="6"/>
  <c r="V27" i="6"/>
  <c r="U27" i="6"/>
  <c r="R27" i="6"/>
  <c r="S27" i="6" s="1"/>
  <c r="Q27" i="6"/>
  <c r="P27" i="6"/>
  <c r="O27" i="6"/>
  <c r="N27" i="6"/>
  <c r="W26" i="6"/>
  <c r="S26" i="6"/>
  <c r="R26" i="6"/>
  <c r="Q26" i="6"/>
  <c r="P26" i="6"/>
  <c r="V26" i="6" s="1"/>
  <c r="O26" i="6"/>
  <c r="N26" i="6"/>
  <c r="R25" i="6"/>
  <c r="S25" i="6" s="1"/>
  <c r="Q25" i="6"/>
  <c r="W25" i="6" s="1"/>
  <c r="P25" i="6"/>
  <c r="V25" i="6" s="1"/>
  <c r="O25" i="6"/>
  <c r="U25" i="6" s="1"/>
  <c r="N25" i="6"/>
  <c r="T25" i="6" s="1"/>
  <c r="T24" i="6"/>
  <c r="S24" i="6"/>
  <c r="R24" i="6"/>
  <c r="Q24" i="6"/>
  <c r="W24" i="6" s="1"/>
  <c r="P24" i="6"/>
  <c r="O24" i="6"/>
  <c r="N24" i="6"/>
  <c r="R23" i="6"/>
  <c r="S23" i="6" s="1"/>
  <c r="Q23" i="6"/>
  <c r="P23" i="6"/>
  <c r="O23" i="6"/>
  <c r="N23" i="6"/>
  <c r="W22" i="6"/>
  <c r="U22" i="6"/>
  <c r="T22" i="6"/>
  <c r="S22" i="6"/>
  <c r="R22" i="6"/>
  <c r="Q22" i="6"/>
  <c r="P22" i="6"/>
  <c r="V22" i="6" s="1"/>
  <c r="O22" i="6"/>
  <c r="N22" i="6"/>
  <c r="R21" i="6"/>
  <c r="S21" i="6" s="1"/>
  <c r="V21" i="6" s="1"/>
  <c r="Q21" i="6"/>
  <c r="W21" i="6" s="1"/>
  <c r="P21" i="6"/>
  <c r="O21" i="6"/>
  <c r="N21" i="6"/>
  <c r="S20" i="6"/>
  <c r="W20" i="6" s="1"/>
  <c r="R20" i="6"/>
  <c r="Q20" i="6"/>
  <c r="P20" i="6"/>
  <c r="V20" i="6" s="1"/>
  <c r="O20" i="6"/>
  <c r="U20" i="6" s="1"/>
  <c r="N20" i="6"/>
  <c r="T20" i="6" s="1"/>
  <c r="U19" i="6"/>
  <c r="R19" i="6"/>
  <c r="S19" i="6" s="1"/>
  <c r="Q19" i="6"/>
  <c r="P19" i="6"/>
  <c r="O19" i="6"/>
  <c r="N19" i="6"/>
  <c r="T19" i="6" s="1"/>
  <c r="S18" i="6"/>
  <c r="W18" i="6" s="1"/>
  <c r="R18" i="6"/>
  <c r="Q18" i="6"/>
  <c r="P18" i="6"/>
  <c r="O18" i="6"/>
  <c r="U18" i="6" s="1"/>
  <c r="N18" i="6"/>
  <c r="S17" i="6"/>
  <c r="V17" i="6" s="1"/>
  <c r="R17" i="6"/>
  <c r="Q17" i="6"/>
  <c r="P17" i="6"/>
  <c r="O17" i="6"/>
  <c r="N17" i="6"/>
  <c r="S16" i="6"/>
  <c r="R16" i="6"/>
  <c r="Q16" i="6"/>
  <c r="P16" i="6"/>
  <c r="O16" i="6"/>
  <c r="N16" i="6"/>
  <c r="R15" i="6"/>
  <c r="S15" i="6" s="1"/>
  <c r="V15" i="6" s="1"/>
  <c r="Q15" i="6"/>
  <c r="W15" i="6" s="1"/>
  <c r="P15" i="6"/>
  <c r="O15" i="6"/>
  <c r="N15" i="6"/>
  <c r="T15" i="6" s="1"/>
  <c r="S14" i="6"/>
  <c r="W14" i="6" s="1"/>
  <c r="R14" i="6"/>
  <c r="Q14" i="6"/>
  <c r="P14" i="6"/>
  <c r="O14" i="6"/>
  <c r="U14" i="6" s="1"/>
  <c r="N14" i="6"/>
  <c r="T14" i="6" s="1"/>
  <c r="U13" i="6"/>
  <c r="R13" i="6"/>
  <c r="S13" i="6" s="1"/>
  <c r="Q13" i="6"/>
  <c r="W13" i="6" s="1"/>
  <c r="P13" i="6"/>
  <c r="V13" i="6" s="1"/>
  <c r="O13" i="6"/>
  <c r="N13" i="6"/>
  <c r="T12" i="6"/>
  <c r="S12" i="6"/>
  <c r="R12" i="6"/>
  <c r="Q12" i="6"/>
  <c r="W12" i="6" s="1"/>
  <c r="P12" i="6"/>
  <c r="V12" i="6" s="1"/>
  <c r="O12" i="6"/>
  <c r="N12" i="6"/>
  <c r="R11" i="6"/>
  <c r="S11" i="6" s="1"/>
  <c r="Q11" i="6"/>
  <c r="W11" i="6" s="1"/>
  <c r="P11" i="6"/>
  <c r="O11" i="6"/>
  <c r="N11" i="6"/>
  <c r="T11" i="6" s="1"/>
  <c r="S10" i="6"/>
  <c r="W10" i="6" s="1"/>
  <c r="R10" i="6"/>
  <c r="Q10" i="6"/>
  <c r="P10" i="6"/>
  <c r="O10" i="6"/>
  <c r="U10" i="6" s="1"/>
  <c r="N10" i="6"/>
  <c r="R9" i="6"/>
  <c r="S9" i="6" s="1"/>
  <c r="U9" i="6" s="1"/>
  <c r="Q9" i="6"/>
  <c r="W9" i="6" s="1"/>
  <c r="P9" i="6"/>
  <c r="V9" i="6" s="1"/>
  <c r="O9" i="6"/>
  <c r="N9" i="6"/>
  <c r="T9" i="6" s="1"/>
  <c r="W8" i="6"/>
  <c r="S8" i="6"/>
  <c r="T8" i="6" s="1"/>
  <c r="R8" i="6"/>
  <c r="Q8" i="6"/>
  <c r="P8" i="6"/>
  <c r="V8" i="6" s="1"/>
  <c r="O8" i="6"/>
  <c r="U8" i="6" s="1"/>
  <c r="N8" i="6"/>
  <c r="V7" i="6"/>
  <c r="U7" i="6"/>
  <c r="R7" i="6"/>
  <c r="S7" i="6" s="1"/>
  <c r="T7" i="6" s="1"/>
  <c r="Q7" i="6"/>
  <c r="W7" i="6" s="1"/>
  <c r="P7" i="6"/>
  <c r="O7" i="6"/>
  <c r="N7" i="6"/>
  <c r="S6" i="6"/>
  <c r="V6" i="6" s="1"/>
  <c r="R6" i="6"/>
  <c r="Q6" i="6"/>
  <c r="P6" i="6"/>
  <c r="O6" i="6"/>
  <c r="N6" i="6"/>
  <c r="U5" i="6"/>
  <c r="R5" i="6"/>
  <c r="S5" i="6" s="1"/>
  <c r="Q5" i="6"/>
  <c r="W5" i="6" s="1"/>
  <c r="P5" i="6"/>
  <c r="V5" i="6" s="1"/>
  <c r="O5" i="6"/>
  <c r="N5" i="6"/>
  <c r="R4" i="6"/>
  <c r="S4" i="6" s="1"/>
  <c r="W4" i="6" s="1"/>
  <c r="Q4" i="6"/>
  <c r="P4" i="6"/>
  <c r="O4" i="6"/>
  <c r="N4" i="6"/>
  <c r="Z1" i="6"/>
  <c r="H2" i="4"/>
  <c r="H4" i="4" s="1" a="1"/>
  <c r="H96" i="4" s="1"/>
  <c r="G2" i="4"/>
  <c r="G4" i="4" s="1" a="1"/>
  <c r="V23" i="6" l="1"/>
  <c r="U23" i="6"/>
  <c r="G96" i="4"/>
  <c r="G84" i="4"/>
  <c r="G72" i="4"/>
  <c r="G60" i="4"/>
  <c r="G48" i="4"/>
  <c r="G36" i="4"/>
  <c r="G24" i="4"/>
  <c r="G12" i="4"/>
  <c r="G94" i="4"/>
  <c r="G82" i="4"/>
  <c r="G70" i="4"/>
  <c r="G58" i="4"/>
  <c r="G46" i="4"/>
  <c r="G34" i="4"/>
  <c r="G22" i="4"/>
  <c r="G10" i="4"/>
  <c r="G95" i="4"/>
  <c r="G83" i="4"/>
  <c r="G71" i="4"/>
  <c r="G59" i="4"/>
  <c r="G47" i="4"/>
  <c r="G35" i="4"/>
  <c r="G23" i="4"/>
  <c r="G11" i="4"/>
  <c r="G103" i="4"/>
  <c r="G91" i="4"/>
  <c r="G79" i="4"/>
  <c r="G67" i="4"/>
  <c r="G55" i="4"/>
  <c r="G43" i="4"/>
  <c r="G31" i="4"/>
  <c r="G19" i="4"/>
  <c r="G7" i="4"/>
  <c r="G99" i="4"/>
  <c r="G87" i="4"/>
  <c r="G75" i="4"/>
  <c r="G63" i="4"/>
  <c r="G51" i="4"/>
  <c r="G39" i="4"/>
  <c r="G27" i="4"/>
  <c r="G15" i="4"/>
  <c r="G4" i="4"/>
  <c r="G93" i="4"/>
  <c r="G74" i="4"/>
  <c r="G53" i="4"/>
  <c r="G32" i="4"/>
  <c r="G13" i="4"/>
  <c r="G92" i="4"/>
  <c r="G9" i="4"/>
  <c r="G69" i="4"/>
  <c r="G29" i="4"/>
  <c r="G86" i="4"/>
  <c r="G65" i="4"/>
  <c r="G44" i="4"/>
  <c r="G102" i="4"/>
  <c r="G81" i="4"/>
  <c r="G41" i="4"/>
  <c r="G20" i="4"/>
  <c r="G98" i="4"/>
  <c r="G37" i="4"/>
  <c r="G73" i="4"/>
  <c r="G52" i="4"/>
  <c r="G30" i="4"/>
  <c r="G90" i="4"/>
  <c r="G50" i="4"/>
  <c r="G8" i="4"/>
  <c r="G85" i="4"/>
  <c r="G42" i="4"/>
  <c r="G89" i="4"/>
  <c r="G68" i="4"/>
  <c r="G49" i="4"/>
  <c r="G28" i="4"/>
  <c r="G6" i="4"/>
  <c r="G88" i="4"/>
  <c r="G66" i="4"/>
  <c r="G26" i="4"/>
  <c r="G5" i="4"/>
  <c r="G64" i="4"/>
  <c r="G21" i="4"/>
  <c r="G56" i="4"/>
  <c r="G76" i="4"/>
  <c r="G33" i="4"/>
  <c r="G45" i="4"/>
  <c r="G25" i="4"/>
  <c r="G62" i="4"/>
  <c r="G97" i="4"/>
  <c r="G14" i="4"/>
  <c r="G104" i="4"/>
  <c r="G101" i="4"/>
  <c r="G80" i="4"/>
  <c r="G61" i="4"/>
  <c r="G40" i="4"/>
  <c r="G18" i="4"/>
  <c r="G100" i="4"/>
  <c r="G78" i="4"/>
  <c r="G57" i="4"/>
  <c r="G38" i="4"/>
  <c r="G17" i="4"/>
  <c r="G77" i="4"/>
  <c r="G16" i="4"/>
  <c r="G54" i="4"/>
  <c r="H56" i="4"/>
  <c r="H15" i="4"/>
  <c r="H36" i="4"/>
  <c r="H83" i="4"/>
  <c r="V10" i="6"/>
  <c r="W16" i="6"/>
  <c r="T16" i="6"/>
  <c r="V18" i="6"/>
  <c r="V41" i="6"/>
  <c r="U41" i="6"/>
  <c r="V16" i="8"/>
  <c r="W16" i="8"/>
  <c r="X16" i="8"/>
  <c r="H19" i="4"/>
  <c r="H38" i="4"/>
  <c r="H60" i="4"/>
  <c r="H84" i="4"/>
  <c r="T4" i="6"/>
  <c r="T6" i="6"/>
  <c r="T23" i="6"/>
  <c r="U72" i="6"/>
  <c r="V41" i="8"/>
  <c r="X41" i="8"/>
  <c r="W41" i="8"/>
  <c r="H20" i="4"/>
  <c r="H39" i="4"/>
  <c r="H62" i="4"/>
  <c r="H86" i="4"/>
  <c r="U4" i="6"/>
  <c r="W6" i="6"/>
  <c r="U21" i="6"/>
  <c r="T33" i="6"/>
  <c r="W47" i="6"/>
  <c r="V63" i="6"/>
  <c r="U63" i="6"/>
  <c r="V72" i="6"/>
  <c r="V111" i="6"/>
  <c r="U111" i="6"/>
  <c r="T111" i="6"/>
  <c r="V74" i="8"/>
  <c r="X74" i="8"/>
  <c r="W74" i="8"/>
  <c r="V116" i="8"/>
  <c r="X116" i="8"/>
  <c r="W116" i="8"/>
  <c r="H104" i="4"/>
  <c r="H63" i="4"/>
  <c r="V4" i="6"/>
  <c r="V47" i="6"/>
  <c r="U47" i="6"/>
  <c r="H23" i="4"/>
  <c r="H92" i="4"/>
  <c r="H7" i="4"/>
  <c r="H47" i="4"/>
  <c r="H95" i="4"/>
  <c r="W17" i="6"/>
  <c r="V33" i="6"/>
  <c r="U33" i="6"/>
  <c r="W42" i="6"/>
  <c r="T42" i="6"/>
  <c r="T70" i="6"/>
  <c r="H14" i="4"/>
  <c r="H80" i="4"/>
  <c r="H22" i="4"/>
  <c r="H67" i="4"/>
  <c r="H24" i="4"/>
  <c r="W74" i="6"/>
  <c r="V74" i="6"/>
  <c r="U74" i="6"/>
  <c r="T74" i="6"/>
  <c r="H26" i="4"/>
  <c r="H71" i="4"/>
  <c r="H8" i="4"/>
  <c r="H27" i="4"/>
  <c r="H48" i="4"/>
  <c r="H72" i="4"/>
  <c r="W28" i="6"/>
  <c r="T28" i="6"/>
  <c r="H102" i="4"/>
  <c r="H90" i="4"/>
  <c r="H78" i="4"/>
  <c r="H66" i="4"/>
  <c r="H54" i="4"/>
  <c r="H42" i="4"/>
  <c r="H30" i="4"/>
  <c r="H18" i="4"/>
  <c r="H6" i="4"/>
  <c r="H100" i="4"/>
  <c r="H76" i="4"/>
  <c r="H52" i="4"/>
  <c r="H16" i="4"/>
  <c r="H101" i="4"/>
  <c r="H89" i="4"/>
  <c r="H77" i="4"/>
  <c r="H65" i="4"/>
  <c r="H53" i="4"/>
  <c r="H41" i="4"/>
  <c r="H29" i="4"/>
  <c r="H17" i="4"/>
  <c r="H5" i="4"/>
  <c r="H88" i="4"/>
  <c r="H64" i="4"/>
  <c r="H40" i="4"/>
  <c r="H28" i="4"/>
  <c r="H97" i="4"/>
  <c r="H85" i="4"/>
  <c r="H73" i="4"/>
  <c r="H61" i="4"/>
  <c r="H49" i="4"/>
  <c r="H37" i="4"/>
  <c r="H25" i="4"/>
  <c r="H13" i="4"/>
  <c r="H94" i="4"/>
  <c r="H82" i="4"/>
  <c r="H70" i="4"/>
  <c r="H58" i="4"/>
  <c r="H93" i="4"/>
  <c r="H81" i="4"/>
  <c r="H69" i="4"/>
  <c r="H57" i="4"/>
  <c r="H45" i="4"/>
  <c r="H33" i="4"/>
  <c r="H21" i="4"/>
  <c r="H9" i="4"/>
  <c r="H91" i="4"/>
  <c r="H46" i="4"/>
  <c r="T36" i="6"/>
  <c r="H31" i="4"/>
  <c r="H50" i="4"/>
  <c r="H98" i="4"/>
  <c r="U16" i="6"/>
  <c r="H11" i="4"/>
  <c r="H32" i="4"/>
  <c r="H51" i="4"/>
  <c r="H99" i="4"/>
  <c r="V16" i="6"/>
  <c r="V39" i="6"/>
  <c r="U39" i="6"/>
  <c r="V53" i="6"/>
  <c r="U53" i="6"/>
  <c r="U57" i="6"/>
  <c r="V5" i="8"/>
  <c r="X5" i="8"/>
  <c r="W5" i="8"/>
  <c r="H35" i="4"/>
  <c r="W39" i="8"/>
  <c r="V39" i="8"/>
  <c r="X39" i="8"/>
  <c r="H59" i="4"/>
  <c r="H43" i="4"/>
  <c r="H87" i="4"/>
  <c r="W54" i="6"/>
  <c r="T54" i="6"/>
  <c r="H44" i="4"/>
  <c r="T18" i="6"/>
  <c r="H4" i="4"/>
  <c r="H68" i="4"/>
  <c r="H10" i="4"/>
  <c r="H74" i="4"/>
  <c r="U6" i="6"/>
  <c r="U32" i="6"/>
  <c r="T41" i="6"/>
  <c r="V87" i="6"/>
  <c r="U87" i="6"/>
  <c r="T87" i="6"/>
  <c r="H75" i="4"/>
  <c r="U17" i="6"/>
  <c r="H12" i="4"/>
  <c r="H34" i="4"/>
  <c r="H55" i="4"/>
  <c r="H79" i="4"/>
  <c r="H103" i="4"/>
  <c r="T5" i="6"/>
  <c r="T10" i="6"/>
  <c r="V11" i="6"/>
  <c r="U11" i="6"/>
  <c r="W43" i="6"/>
  <c r="T46" i="6"/>
  <c r="W75" i="6"/>
  <c r="V75" i="6"/>
  <c r="U75" i="6"/>
  <c r="V20" i="8"/>
  <c r="X20" i="8"/>
  <c r="W20" i="8"/>
  <c r="X45" i="8"/>
  <c r="V45" i="8"/>
  <c r="W45" i="8"/>
  <c r="V83" i="8"/>
  <c r="X83" i="8"/>
  <c r="W83" i="8"/>
  <c r="X27" i="8"/>
  <c r="W27" i="8"/>
  <c r="V32" i="8"/>
  <c r="X32" i="8"/>
  <c r="W32" i="8"/>
  <c r="Z115" i="6"/>
  <c r="U12" i="6"/>
  <c r="T17" i="6"/>
  <c r="T26" i="6"/>
  <c r="W27" i="6"/>
  <c r="W31" i="6"/>
  <c r="U34" i="6"/>
  <c r="W35" i="6"/>
  <c r="V38" i="6"/>
  <c r="V42" i="6"/>
  <c r="T45" i="6"/>
  <c r="T49" i="6"/>
  <c r="W72" i="6"/>
  <c r="V76" i="6"/>
  <c r="T100" i="6"/>
  <c r="U100" i="6"/>
  <c r="AB115" i="6"/>
  <c r="V7" i="8"/>
  <c r="W7" i="8"/>
  <c r="X7" i="8"/>
  <c r="V27" i="8"/>
  <c r="T21" i="6"/>
  <c r="W23" i="6"/>
  <c r="U26" i="6"/>
  <c r="U30" i="6"/>
  <c r="T65" i="6"/>
  <c r="T101" i="6"/>
  <c r="Y116" i="6"/>
  <c r="Y115" i="6" s="1"/>
  <c r="V98" i="8"/>
  <c r="X98" i="8"/>
  <c r="W98" i="8"/>
  <c r="V110" i="8"/>
  <c r="W110" i="8"/>
  <c r="V37" i="6"/>
  <c r="V52" i="6"/>
  <c r="V55" i="6"/>
  <c r="W65" i="6"/>
  <c r="T75" i="6"/>
  <c r="T112" i="6"/>
  <c r="U112" i="6"/>
  <c r="X110" i="8"/>
  <c r="T32" i="6"/>
  <c r="W33" i="6"/>
  <c r="W37" i="6"/>
  <c r="W41" i="6"/>
  <c r="W55" i="6"/>
  <c r="W71" i="6"/>
  <c r="T113" i="6"/>
  <c r="AA116" i="6"/>
  <c r="AA115" i="6" s="1"/>
  <c r="X12" i="8"/>
  <c r="W12" i="8"/>
  <c r="V29" i="8"/>
  <c r="X29" i="8"/>
  <c r="W29" i="8"/>
  <c r="T57" i="6"/>
  <c r="U70" i="6"/>
  <c r="V99" i="6"/>
  <c r="U99" i="6"/>
  <c r="T99" i="6"/>
  <c r="U113" i="6"/>
  <c r="V43" i="8"/>
  <c r="W43" i="8"/>
  <c r="X43" i="8"/>
  <c r="V32" i="6"/>
  <c r="V36" i="6"/>
  <c r="T39" i="6"/>
  <c r="T43" i="6"/>
  <c r="T47" i="6"/>
  <c r="U54" i="6"/>
  <c r="T63" i="6"/>
  <c r="V70" i="6"/>
  <c r="U71" i="6"/>
  <c r="W99" i="6"/>
  <c r="V14" i="6"/>
  <c r="T13" i="6"/>
  <c r="U15" i="6"/>
  <c r="V19" i="6"/>
  <c r="U24" i="6"/>
  <c r="V28" i="6"/>
  <c r="T50" i="6"/>
  <c r="T52" i="6"/>
  <c r="V54" i="6"/>
  <c r="U60" i="6"/>
  <c r="V67" i="6"/>
  <c r="U67" i="6"/>
  <c r="T69" i="6"/>
  <c r="W73" i="6"/>
  <c r="V73" i="6"/>
  <c r="T88" i="6"/>
  <c r="U88" i="6"/>
  <c r="X18" i="8"/>
  <c r="W18" i="8"/>
  <c r="V18" i="8"/>
  <c r="V101" i="8"/>
  <c r="X101" i="8"/>
  <c r="W101" i="8"/>
  <c r="V107" i="8"/>
  <c r="X107" i="8"/>
  <c r="U36" i="6"/>
  <c r="U28" i="6"/>
  <c r="W19" i="6"/>
  <c r="V24" i="6"/>
  <c r="T27" i="6"/>
  <c r="T31" i="6"/>
  <c r="T35" i="6"/>
  <c r="V43" i="6"/>
  <c r="U50" i="6"/>
  <c r="W57" i="6"/>
  <c r="T58" i="6"/>
  <c r="V60" i="6"/>
  <c r="U66" i="6"/>
  <c r="T89" i="6"/>
  <c r="V14" i="8"/>
  <c r="X14" i="8"/>
  <c r="W107" i="8"/>
  <c r="W76" i="6"/>
  <c r="W82" i="6"/>
  <c r="V89" i="6"/>
  <c r="W94" i="6"/>
  <c r="V101" i="6"/>
  <c r="W106" i="6"/>
  <c r="V113" i="6"/>
  <c r="V11" i="8"/>
  <c r="X11" i="8"/>
  <c r="W11" i="8"/>
  <c r="V70" i="8"/>
  <c r="X70" i="8"/>
  <c r="W70" i="8"/>
  <c r="T79" i="6"/>
  <c r="U84" i="6"/>
  <c r="W89" i="6"/>
  <c r="U96" i="6"/>
  <c r="W101" i="6"/>
  <c r="U108" i="6"/>
  <c r="W113" i="6"/>
  <c r="X36" i="8"/>
  <c r="W36" i="8"/>
  <c r="V63" i="8"/>
  <c r="V90" i="8"/>
  <c r="W97" i="8"/>
  <c r="V97" i="8"/>
  <c r="X97" i="8"/>
  <c r="V102" i="8"/>
  <c r="W112" i="8"/>
  <c r="V112" i="8"/>
  <c r="T83" i="6"/>
  <c r="T95" i="6"/>
  <c r="X9" i="8"/>
  <c r="W9" i="8"/>
  <c r="V40" i="8"/>
  <c r="X40" i="8"/>
  <c r="W40" i="8"/>
  <c r="V53" i="8"/>
  <c r="X53" i="8"/>
  <c r="V79" i="8"/>
  <c r="X79" i="8"/>
  <c r="W79" i="8"/>
  <c r="V88" i="6"/>
  <c r="V100" i="6"/>
  <c r="V112" i="6"/>
  <c r="AB116" i="6"/>
  <c r="V31" i="8"/>
  <c r="X31" i="8"/>
  <c r="W31" i="8"/>
  <c r="V34" i="8"/>
  <c r="W34" i="8"/>
  <c r="W53" i="8"/>
  <c r="X57" i="8"/>
  <c r="V57" i="8"/>
  <c r="V72" i="8"/>
  <c r="V113" i="8"/>
  <c r="X113" i="8"/>
  <c r="W113" i="8"/>
  <c r="W123" i="8"/>
  <c r="V123" i="8"/>
  <c r="T77" i="6"/>
  <c r="W88" i="6"/>
  <c r="T90" i="6"/>
  <c r="W100" i="6"/>
  <c r="T102" i="6"/>
  <c r="W112" i="6"/>
  <c r="T114" i="6"/>
  <c r="Y114" i="6" s="1"/>
  <c r="V22" i="8"/>
  <c r="X22" i="8"/>
  <c r="W22" i="8"/>
  <c r="V25" i="8"/>
  <c r="W25" i="8"/>
  <c r="W54" i="8"/>
  <c r="V54" i="8"/>
  <c r="W72" i="8"/>
  <c r="X123" i="8"/>
  <c r="U77" i="6"/>
  <c r="V79" i="6"/>
  <c r="U81" i="6"/>
  <c r="W83" i="6"/>
  <c r="U90" i="6"/>
  <c r="U93" i="6"/>
  <c r="W95" i="6"/>
  <c r="U102" i="6"/>
  <c r="U105" i="6"/>
  <c r="W107" i="6"/>
  <c r="U114" i="6"/>
  <c r="V13" i="8"/>
  <c r="X13" i="8"/>
  <c r="W13" i="8"/>
  <c r="X25" i="8"/>
  <c r="V47" i="8"/>
  <c r="X47" i="8"/>
  <c r="X54" i="8"/>
  <c r="W65" i="8"/>
  <c r="W92" i="8"/>
  <c r="V119" i="8"/>
  <c r="X119" i="8"/>
  <c r="W119" i="8"/>
  <c r="V77" i="6"/>
  <c r="W81" i="6"/>
  <c r="V90" i="6"/>
  <c r="W93" i="6"/>
  <c r="V102" i="6"/>
  <c r="W105" i="6"/>
  <c r="V114" i="6"/>
  <c r="AA114" i="6" s="1"/>
  <c r="V4" i="8"/>
  <c r="X4" i="8"/>
  <c r="W4" i="8"/>
  <c r="W47" i="8"/>
  <c r="X51" i="8"/>
  <c r="V51" i="8"/>
  <c r="V61" i="8"/>
  <c r="X61" i="8"/>
  <c r="W61" i="8"/>
  <c r="X65" i="8"/>
  <c r="V88" i="8"/>
  <c r="X88" i="8"/>
  <c r="W88" i="8"/>
  <c r="X92" i="8"/>
  <c r="W77" i="6"/>
  <c r="W90" i="6"/>
  <c r="W102" i="6"/>
  <c r="W114" i="6"/>
  <c r="V23" i="8"/>
  <c r="X23" i="8"/>
  <c r="V38" i="8"/>
  <c r="X38" i="8"/>
  <c r="W38" i="8"/>
  <c r="W48" i="8"/>
  <c r="V48" i="8"/>
  <c r="W105" i="8"/>
  <c r="V105" i="8"/>
  <c r="W115" i="8"/>
  <c r="V115" i="8"/>
  <c r="X115" i="8"/>
  <c r="V120" i="8"/>
  <c r="W49" i="8"/>
  <c r="W55" i="8"/>
  <c r="W100" i="8"/>
  <c r="V100" i="8"/>
  <c r="W118" i="8"/>
  <c r="V118" i="8"/>
  <c r="W103" i="8"/>
  <c r="V103" i="8"/>
  <c r="W121" i="8"/>
  <c r="V121" i="8"/>
  <c r="W64" i="8"/>
  <c r="W73" i="8"/>
  <c r="W82" i="8"/>
  <c r="W91" i="8"/>
  <c r="X103" i="8"/>
  <c r="V111" i="8"/>
  <c r="X121" i="8"/>
  <c r="X64" i="8"/>
  <c r="X73" i="8"/>
  <c r="X82" i="8"/>
  <c r="X91" i="8"/>
  <c r="W106" i="8"/>
  <c r="V106" i="8"/>
  <c r="W111" i="8"/>
  <c r="W124" i="8"/>
  <c r="V124" i="8"/>
  <c r="Z124" i="8" s="1"/>
  <c r="V6" i="8"/>
  <c r="V15" i="8"/>
  <c r="V24" i="8"/>
  <c r="V33" i="8"/>
  <c r="V42" i="8"/>
  <c r="V60" i="8"/>
  <c r="W62" i="8"/>
  <c r="V69" i="8"/>
  <c r="W71" i="8"/>
  <c r="V78" i="8"/>
  <c r="W80" i="8"/>
  <c r="V87" i="8"/>
  <c r="W89" i="8"/>
  <c r="V96" i="8"/>
  <c r="X106" i="8"/>
  <c r="V114" i="8"/>
  <c r="X124" i="8"/>
  <c r="W42" i="8"/>
  <c r="W60" i="8"/>
  <c r="X62" i="8"/>
  <c r="W69" i="8"/>
  <c r="X71" i="8"/>
  <c r="W78" i="8"/>
  <c r="X80" i="8"/>
  <c r="W87" i="8"/>
  <c r="X89" i="8"/>
  <c r="W109" i="8"/>
  <c r="V109" i="8"/>
  <c r="W114" i="8"/>
  <c r="X125" i="8"/>
  <c r="AB125" i="8" s="1"/>
  <c r="W125" i="8"/>
  <c r="AA125" i="8" s="1"/>
  <c r="V125" i="8"/>
  <c r="Z125" i="8" s="1"/>
  <c r="AA112" i="6" l="1"/>
  <c r="AA111" i="6" s="1"/>
  <c r="AA110" i="6" s="1"/>
  <c r="AA109" i="6" s="1"/>
  <c r="AA108" i="6" s="1"/>
  <c r="AA107" i="6" s="1"/>
  <c r="AA106" i="6" s="1"/>
  <c r="AA105" i="6" s="1"/>
  <c r="AA104" i="6" s="1"/>
  <c r="AA103" i="6" s="1"/>
  <c r="AA102" i="6" s="1"/>
  <c r="AA101" i="6" s="1"/>
  <c r="AA100" i="6" s="1"/>
  <c r="AA99" i="6" s="1"/>
  <c r="AA98" i="6" s="1"/>
  <c r="AA97" i="6" s="1"/>
  <c r="AA96" i="6" s="1"/>
  <c r="AA95" i="6" s="1"/>
  <c r="AA94" i="6" s="1"/>
  <c r="AA93" i="6" s="1"/>
  <c r="AA92" i="6" s="1"/>
  <c r="AA91" i="6" s="1"/>
  <c r="AA90" i="6" s="1"/>
  <c r="AA89" i="6" s="1"/>
  <c r="AA88" i="6" s="1"/>
  <c r="AA87" i="6" s="1"/>
  <c r="AA86" i="6" s="1"/>
  <c r="AA85" i="6" s="1"/>
  <c r="AA84" i="6" s="1"/>
  <c r="AA83" i="6" s="1"/>
  <c r="AA82" i="6" s="1"/>
  <c r="AA81" i="6" s="1"/>
  <c r="AA80" i="6" s="1"/>
  <c r="AA79" i="6" s="1"/>
  <c r="AA78" i="6" s="1"/>
  <c r="AA77" i="6" s="1"/>
  <c r="AA76" i="6" s="1"/>
  <c r="AA75" i="6" s="1"/>
  <c r="AA74" i="6" s="1"/>
  <c r="AA73" i="6" s="1"/>
  <c r="AA72" i="6" s="1"/>
  <c r="AA71" i="6" s="1"/>
  <c r="AA70" i="6" s="1"/>
  <c r="AA69" i="6" s="1"/>
  <c r="AA68" i="6" s="1"/>
  <c r="AA67" i="6" s="1"/>
  <c r="AA66" i="6" s="1"/>
  <c r="AA65" i="6" s="1"/>
  <c r="AA64" i="6" s="1"/>
  <c r="AA63" i="6" s="1"/>
  <c r="AA62" i="6" s="1"/>
  <c r="AA61" i="6" s="1"/>
  <c r="AA60" i="6" s="1"/>
  <c r="AA59" i="6" s="1"/>
  <c r="AA58" i="6" s="1"/>
  <c r="AA57" i="6" s="1"/>
  <c r="AA56" i="6" s="1"/>
  <c r="AA55" i="6" s="1"/>
  <c r="AA54" i="6" s="1"/>
  <c r="AA53" i="6" s="1"/>
  <c r="AA52" i="6" s="1"/>
  <c r="AA51" i="6" s="1"/>
  <c r="AA50" i="6" s="1"/>
  <c r="AA49" i="6" s="1"/>
  <c r="AA48" i="6" s="1"/>
  <c r="AA47" i="6" s="1"/>
  <c r="AA46" i="6" s="1"/>
  <c r="AA45" i="6" s="1"/>
  <c r="AA44" i="6" s="1"/>
  <c r="AA43" i="6" s="1"/>
  <c r="AA42" i="6" s="1"/>
  <c r="AA41" i="6" s="1"/>
  <c r="AA40" i="6" s="1"/>
  <c r="AA39" i="6" s="1"/>
  <c r="AA38" i="6" s="1"/>
  <c r="AA37" i="6" s="1"/>
  <c r="AA36" i="6" s="1"/>
  <c r="AA35" i="6" s="1"/>
  <c r="AA34" i="6" s="1"/>
  <c r="AA33" i="6" s="1"/>
  <c r="AA32" i="6" s="1"/>
  <c r="AA31" i="6" s="1"/>
  <c r="AA30" i="6" s="1"/>
  <c r="AA29" i="6" s="1"/>
  <c r="AA28" i="6" s="1"/>
  <c r="AA27" i="6" s="1"/>
  <c r="AA26" i="6" s="1"/>
  <c r="AA25" i="6" s="1"/>
  <c r="AA24" i="6" s="1"/>
  <c r="AA23" i="6" s="1"/>
  <c r="AA22" i="6" s="1"/>
  <c r="AA21" i="6" s="1"/>
  <c r="AA20" i="6" s="1"/>
  <c r="AA19" i="6" s="1"/>
  <c r="AA18" i="6" s="1"/>
  <c r="AA17" i="6" s="1"/>
  <c r="AA16" i="6" s="1"/>
  <c r="AA15" i="6" s="1"/>
  <c r="AA14" i="6" s="1"/>
  <c r="AA13" i="6" s="1"/>
  <c r="AA12" i="6" s="1"/>
  <c r="AA11" i="6" s="1"/>
  <c r="AA10" i="6" s="1"/>
  <c r="AA9" i="6" s="1"/>
  <c r="AA8" i="6" s="1"/>
  <c r="AA7" i="6" s="1"/>
  <c r="AA6" i="6" s="1"/>
  <c r="AA5" i="6" s="1"/>
  <c r="AA4" i="6" s="1"/>
  <c r="AA124" i="8"/>
  <c r="AB114" i="6"/>
  <c r="AB113" i="6" s="1"/>
  <c r="AB112" i="6" s="1"/>
  <c r="AB111" i="6" s="1"/>
  <c r="AB110" i="6" s="1"/>
  <c r="AB109" i="6" s="1"/>
  <c r="AB108" i="6" s="1"/>
  <c r="AB107" i="6" s="1"/>
  <c r="AB106" i="6" s="1"/>
  <c r="AB105" i="6" s="1"/>
  <c r="AB104" i="6" s="1"/>
  <c r="AB103" i="6" s="1"/>
  <c r="AB102" i="6" s="1"/>
  <c r="AB101" i="6" s="1"/>
  <c r="AB100" i="6" s="1"/>
  <c r="AB99" i="6" s="1"/>
  <c r="AB98" i="6" s="1"/>
  <c r="AB97" i="6" s="1"/>
  <c r="AB96" i="6" s="1"/>
  <c r="AB95" i="6" s="1"/>
  <c r="AB94" i="6" s="1"/>
  <c r="AB93" i="6" s="1"/>
  <c r="AB92" i="6" s="1"/>
  <c r="AB91" i="6" s="1"/>
  <c r="AB90" i="6" s="1"/>
  <c r="AB89" i="6" s="1"/>
  <c r="AB88" i="6" s="1"/>
  <c r="AB87" i="6" s="1"/>
  <c r="AB86" i="6" s="1"/>
  <c r="AB85" i="6" s="1"/>
  <c r="AB84" i="6" s="1"/>
  <c r="AB83" i="6" s="1"/>
  <c r="AB82" i="6" s="1"/>
  <c r="AB81" i="6" s="1"/>
  <c r="AB80" i="6" s="1"/>
  <c r="AB79" i="6" s="1"/>
  <c r="AB78" i="6" s="1"/>
  <c r="AB77" i="6" s="1"/>
  <c r="AB76" i="6" s="1"/>
  <c r="AB75" i="6" s="1"/>
  <c r="AB74" i="6" s="1"/>
  <c r="AB73" i="6" s="1"/>
  <c r="AB72" i="6" s="1"/>
  <c r="AB71" i="6" s="1"/>
  <c r="AB70" i="6" s="1"/>
  <c r="AB69" i="6" s="1"/>
  <c r="AB68" i="6" s="1"/>
  <c r="AB67" i="6" s="1"/>
  <c r="AB66" i="6" s="1"/>
  <c r="AB65" i="6" s="1"/>
  <c r="AB64" i="6" s="1"/>
  <c r="AB63" i="6" s="1"/>
  <c r="AB62" i="6" s="1"/>
  <c r="AB61" i="6" s="1"/>
  <c r="AB60" i="6" s="1"/>
  <c r="AB59" i="6" s="1"/>
  <c r="AB58" i="6" s="1"/>
  <c r="AB57" i="6" s="1"/>
  <c r="AB56" i="6" s="1"/>
  <c r="AB55" i="6" s="1"/>
  <c r="AB54" i="6" s="1"/>
  <c r="AB53" i="6" s="1"/>
  <c r="AB52" i="6" s="1"/>
  <c r="AB51" i="6" s="1"/>
  <c r="AB50" i="6" s="1"/>
  <c r="AB49" i="6" s="1"/>
  <c r="AB48" i="6" s="1"/>
  <c r="AB47" i="6" s="1"/>
  <c r="AB46" i="6" s="1"/>
  <c r="AB45" i="6" s="1"/>
  <c r="AB44" i="6" s="1"/>
  <c r="AB43" i="6" s="1"/>
  <c r="AB42" i="6" s="1"/>
  <c r="AB41" i="6" s="1"/>
  <c r="AB40" i="6" s="1"/>
  <c r="AB39" i="6" s="1"/>
  <c r="AB38" i="6" s="1"/>
  <c r="AB37" i="6" s="1"/>
  <c r="AB36" i="6" s="1"/>
  <c r="AB35" i="6" s="1"/>
  <c r="AB34" i="6" s="1"/>
  <c r="AB33" i="6" s="1"/>
  <c r="AB32" i="6" s="1"/>
  <c r="AB31" i="6" s="1"/>
  <c r="AB30" i="6" s="1"/>
  <c r="AB29" i="6" s="1"/>
  <c r="AB28" i="6" s="1"/>
  <c r="AB27" i="6" s="1"/>
  <c r="AB26" i="6" s="1"/>
  <c r="AB25" i="6" s="1"/>
  <c r="AB24" i="6" s="1"/>
  <c r="AB23" i="6" s="1"/>
  <c r="AB22" i="6" s="1"/>
  <c r="AB21" i="6" s="1"/>
  <c r="AB20" i="6" s="1"/>
  <c r="AB19" i="6" s="1"/>
  <c r="AB18" i="6" s="1"/>
  <c r="AB17" i="6" s="1"/>
  <c r="AB16" i="6" s="1"/>
  <c r="AB15" i="6" s="1"/>
  <c r="AB14" i="6" s="1"/>
  <c r="AB13" i="6" s="1"/>
  <c r="AB12" i="6" s="1"/>
  <c r="AB11" i="6" s="1"/>
  <c r="AB10" i="6" s="1"/>
  <c r="AB9" i="6" s="1"/>
  <c r="AB8" i="6" s="1"/>
  <c r="AB7" i="6" s="1"/>
  <c r="AB6" i="6" s="1"/>
  <c r="AB5" i="6" s="1"/>
  <c r="AB4" i="6" s="1"/>
  <c r="AA113" i="6"/>
  <c r="Z114" i="6"/>
  <c r="Z113" i="6" s="1"/>
  <c r="Z112" i="6" s="1"/>
  <c r="Z111" i="6" s="1"/>
  <c r="Z110" i="6" s="1"/>
  <c r="Z109" i="6" s="1"/>
  <c r="Z108" i="6" s="1"/>
  <c r="Z107" i="6" s="1"/>
  <c r="Z106" i="6" s="1"/>
  <c r="Z105" i="6" s="1"/>
  <c r="Z104" i="6" s="1"/>
  <c r="Z103" i="6" s="1"/>
  <c r="Z102" i="6" s="1"/>
  <c r="Z101" i="6" s="1"/>
  <c r="Z100" i="6" s="1"/>
  <c r="Z99" i="6" s="1"/>
  <c r="Z98" i="6" s="1"/>
  <c r="Z97" i="6" s="1"/>
  <c r="Z96" i="6" s="1"/>
  <c r="Z95" i="6" s="1"/>
  <c r="Z94" i="6" s="1"/>
  <c r="Z93" i="6" s="1"/>
  <c r="Z92" i="6" s="1"/>
  <c r="Z91" i="6" s="1"/>
  <c r="Z90" i="6" s="1"/>
  <c r="Z89" i="6" s="1"/>
  <c r="Z88" i="6" s="1"/>
  <c r="Z87" i="6" s="1"/>
  <c r="Z86" i="6" s="1"/>
  <c r="Z85" i="6" s="1"/>
  <c r="Z84" i="6" s="1"/>
  <c r="Z83" i="6" s="1"/>
  <c r="Z82" i="6" s="1"/>
  <c r="Z81" i="6" s="1"/>
  <c r="Z80" i="6" s="1"/>
  <c r="Z79" i="6" s="1"/>
  <c r="Z78" i="6" s="1"/>
  <c r="Z77" i="6" s="1"/>
  <c r="Z76" i="6" s="1"/>
  <c r="Z75" i="6" s="1"/>
  <c r="Z74" i="6" s="1"/>
  <c r="Z73" i="6" s="1"/>
  <c r="Z72" i="6" s="1"/>
  <c r="Z71" i="6" s="1"/>
  <c r="Z70" i="6" s="1"/>
  <c r="Z69" i="6" s="1"/>
  <c r="Z68" i="6" s="1"/>
  <c r="Z67" i="6" s="1"/>
  <c r="Z66" i="6" s="1"/>
  <c r="Z65" i="6" s="1"/>
  <c r="Z64" i="6" s="1"/>
  <c r="Z63" i="6" s="1"/>
  <c r="Z62" i="6" s="1"/>
  <c r="Z61" i="6" s="1"/>
  <c r="Z60" i="6" s="1"/>
  <c r="Z59" i="6" s="1"/>
  <c r="Z58" i="6" s="1"/>
  <c r="Z57" i="6" s="1"/>
  <c r="Z56" i="6" s="1"/>
  <c r="Z55" i="6" s="1"/>
  <c r="Z54" i="6" s="1"/>
  <c r="Z53" i="6" s="1"/>
  <c r="Z52" i="6" s="1"/>
  <c r="Z51" i="6" s="1"/>
  <c r="Z50" i="6" s="1"/>
  <c r="Z49" i="6" s="1"/>
  <c r="Z48" i="6" s="1"/>
  <c r="Z47" i="6" s="1"/>
  <c r="Z46" i="6" s="1"/>
  <c r="Z45" i="6" s="1"/>
  <c r="Z44" i="6" s="1"/>
  <c r="Z43" i="6" s="1"/>
  <c r="Z42" i="6" s="1"/>
  <c r="Z41" i="6" s="1"/>
  <c r="Z40" i="6" s="1"/>
  <c r="Z39" i="6" s="1"/>
  <c r="Z38" i="6" s="1"/>
  <c r="Z37" i="6" s="1"/>
  <c r="Z36" i="6" s="1"/>
  <c r="Z35" i="6" s="1"/>
  <c r="Z34" i="6" s="1"/>
  <c r="Z33" i="6" s="1"/>
  <c r="Z32" i="6" s="1"/>
  <c r="Z31" i="6" s="1"/>
  <c r="Z30" i="6" s="1"/>
  <c r="Z29" i="6" s="1"/>
  <c r="Z28" i="6" s="1"/>
  <c r="Z27" i="6" s="1"/>
  <c r="Z26" i="6" s="1"/>
  <c r="Z25" i="6" s="1"/>
  <c r="Z24" i="6" s="1"/>
  <c r="Z23" i="6" s="1"/>
  <c r="Z22" i="6" s="1"/>
  <c r="Z21" i="6" s="1"/>
  <c r="Z20" i="6" s="1"/>
  <c r="Z19" i="6" s="1"/>
  <c r="Z18" i="6" s="1"/>
  <c r="Z17" i="6" s="1"/>
  <c r="Z16" i="6" s="1"/>
  <c r="Z15" i="6" s="1"/>
  <c r="Z14" i="6" s="1"/>
  <c r="Z13" i="6" s="1"/>
  <c r="Z12" i="6" s="1"/>
  <c r="Z11" i="6" s="1"/>
  <c r="Z10" i="6" s="1"/>
  <c r="Z9" i="6" s="1"/>
  <c r="Z8" i="6" s="1"/>
  <c r="Z7" i="6" s="1"/>
  <c r="Z6" i="6" s="1"/>
  <c r="Z5" i="6" s="1"/>
  <c r="Z4" i="6" s="1"/>
  <c r="AB123" i="8"/>
  <c r="AB122" i="8" s="1"/>
  <c r="AB121" i="8" s="1"/>
  <c r="AB120" i="8" s="1"/>
  <c r="AB119" i="8" s="1"/>
  <c r="AB118" i="8" s="1"/>
  <c r="AB117" i="8" s="1"/>
  <c r="AB116" i="8" s="1"/>
  <c r="AB115" i="8" s="1"/>
  <c r="AB114" i="8" s="1"/>
  <c r="AB113" i="8" s="1"/>
  <c r="AB112" i="8" s="1"/>
  <c r="AB111" i="8" s="1"/>
  <c r="AB110" i="8" s="1"/>
  <c r="AB109" i="8" s="1"/>
  <c r="AB108" i="8" s="1"/>
  <c r="AB107" i="8" s="1"/>
  <c r="AB106" i="8" s="1"/>
  <c r="AB105" i="8" s="1"/>
  <c r="AB104" i="8" s="1"/>
  <c r="AB103" i="8" s="1"/>
  <c r="AB102" i="8" s="1"/>
  <c r="AB101" i="8" s="1"/>
  <c r="AB100" i="8" s="1"/>
  <c r="AB99" i="8" s="1"/>
  <c r="AB98" i="8" s="1"/>
  <c r="AB97" i="8" s="1"/>
  <c r="AB96" i="8" s="1"/>
  <c r="AB95" i="8" s="1"/>
  <c r="AB94" i="8" s="1"/>
  <c r="AB93" i="8" s="1"/>
  <c r="AB92" i="8" s="1"/>
  <c r="AB91" i="8" s="1"/>
  <c r="AB90" i="8" s="1"/>
  <c r="AB89" i="8" s="1"/>
  <c r="AB88" i="8" s="1"/>
  <c r="AB87" i="8" s="1"/>
  <c r="AB86" i="8" s="1"/>
  <c r="AB85" i="8" s="1"/>
  <c r="AB84" i="8" s="1"/>
  <c r="AB83" i="8" s="1"/>
  <c r="AB82" i="8" s="1"/>
  <c r="AB81" i="8" s="1"/>
  <c r="AB80" i="8" s="1"/>
  <c r="AB79" i="8" s="1"/>
  <c r="AB78" i="8" s="1"/>
  <c r="AB77" i="8" s="1"/>
  <c r="AB76" i="8" s="1"/>
  <c r="AB75" i="8" s="1"/>
  <c r="AB74" i="8" s="1"/>
  <c r="AB73" i="8" s="1"/>
  <c r="AB72" i="8" s="1"/>
  <c r="AB71" i="8" s="1"/>
  <c r="AB70" i="8" s="1"/>
  <c r="AB69" i="8" s="1"/>
  <c r="AB68" i="8" s="1"/>
  <c r="AB67" i="8" s="1"/>
  <c r="AB66" i="8" s="1"/>
  <c r="AB65" i="8" s="1"/>
  <c r="AB64" i="8" s="1"/>
  <c r="AB63" i="8" s="1"/>
  <c r="AB62" i="8" s="1"/>
  <c r="AB61" i="8" s="1"/>
  <c r="AB60" i="8" s="1"/>
  <c r="AB59" i="8" s="1"/>
  <c r="AB58" i="8" s="1"/>
  <c r="AB57" i="8" s="1"/>
  <c r="AB56" i="8" s="1"/>
  <c r="AB55" i="8" s="1"/>
  <c r="AB54" i="8" s="1"/>
  <c r="AB53" i="8" s="1"/>
  <c r="AB52" i="8" s="1"/>
  <c r="AB51" i="8" s="1"/>
  <c r="AB50" i="8" s="1"/>
  <c r="AB49" i="8" s="1"/>
  <c r="AB48" i="8" s="1"/>
  <c r="AB47" i="8" s="1"/>
  <c r="AB46" i="8" s="1"/>
  <c r="AB45" i="8" s="1"/>
  <c r="AB44" i="8" s="1"/>
  <c r="AB43" i="8" s="1"/>
  <c r="AB42" i="8" s="1"/>
  <c r="AB41" i="8" s="1"/>
  <c r="AB40" i="8" s="1"/>
  <c r="AB39" i="8" s="1"/>
  <c r="AB38" i="8" s="1"/>
  <c r="AB37" i="8" s="1"/>
  <c r="AB36" i="8" s="1"/>
  <c r="AB35" i="8" s="1"/>
  <c r="AB34" i="8" s="1"/>
  <c r="AB33" i="8" s="1"/>
  <c r="AB32" i="8" s="1"/>
  <c r="AB31" i="8" s="1"/>
  <c r="AB30" i="8" s="1"/>
  <c r="AB29" i="8" s="1"/>
  <c r="AB28" i="8" s="1"/>
  <c r="AB27" i="8" s="1"/>
  <c r="AB26" i="8" s="1"/>
  <c r="AB25" i="8" s="1"/>
  <c r="AB24" i="8" s="1"/>
  <c r="AB23" i="8" s="1"/>
  <c r="AB22" i="8" s="1"/>
  <c r="AB21" i="8" s="1"/>
  <c r="AB20" i="8" s="1"/>
  <c r="AB19" i="8" s="1"/>
  <c r="AB18" i="8" s="1"/>
  <c r="AB17" i="8" s="1"/>
  <c r="AB16" i="8" s="1"/>
  <c r="AB15" i="8" s="1"/>
  <c r="AB14" i="8" s="1"/>
  <c r="AB13" i="8" s="1"/>
  <c r="AB12" i="8" s="1"/>
  <c r="AB11" i="8" s="1"/>
  <c r="AB10" i="8" s="1"/>
  <c r="AB9" i="8" s="1"/>
  <c r="AB8" i="8" s="1"/>
  <c r="AB7" i="8" s="1"/>
  <c r="AB6" i="8" s="1"/>
  <c r="AB5" i="8" s="1"/>
  <c r="AB4" i="8" s="1"/>
  <c r="AB124" i="8"/>
  <c r="Y113" i="6"/>
  <c r="Y112" i="6" s="1"/>
  <c r="Y111" i="6" s="1"/>
  <c r="Y110" i="6" s="1"/>
  <c r="Y109" i="6" s="1"/>
  <c r="Y108" i="6" s="1"/>
  <c r="Y107" i="6" s="1"/>
  <c r="Y106" i="6" s="1"/>
  <c r="Y105" i="6" s="1"/>
  <c r="Y104" i="6" s="1"/>
  <c r="Y103" i="6" s="1"/>
  <c r="Y102" i="6" s="1"/>
  <c r="Y101" i="6" s="1"/>
  <c r="Y100" i="6" s="1"/>
  <c r="Y99" i="6" s="1"/>
  <c r="Y98" i="6" s="1"/>
  <c r="Y97" i="6" s="1"/>
  <c r="Y96" i="6" s="1"/>
  <c r="Y95" i="6" s="1"/>
  <c r="Y94" i="6" s="1"/>
  <c r="Y93" i="6" s="1"/>
  <c r="Y92" i="6" s="1"/>
  <c r="Y91" i="6" s="1"/>
  <c r="Y90" i="6" s="1"/>
  <c r="Y89" i="6" s="1"/>
  <c r="Y88" i="6" s="1"/>
  <c r="Y87" i="6" s="1"/>
  <c r="Y86" i="6" s="1"/>
  <c r="Y85" i="6" s="1"/>
  <c r="Y84" i="6" s="1"/>
  <c r="Y83" i="6" s="1"/>
  <c r="Y82" i="6" s="1"/>
  <c r="Y81" i="6" s="1"/>
  <c r="Y80" i="6" s="1"/>
  <c r="Y79" i="6" s="1"/>
  <c r="Y78" i="6" s="1"/>
  <c r="Y77" i="6" s="1"/>
  <c r="Y76" i="6" s="1"/>
  <c r="Y75" i="6" s="1"/>
  <c r="Y74" i="6" s="1"/>
  <c r="Y73" i="6" s="1"/>
  <c r="Y72" i="6" s="1"/>
  <c r="Y71" i="6" s="1"/>
  <c r="Y70" i="6" s="1"/>
  <c r="Y69" i="6" s="1"/>
  <c r="Y68" i="6" s="1"/>
  <c r="Y67" i="6" s="1"/>
  <c r="Y66" i="6" s="1"/>
  <c r="Y65" i="6" s="1"/>
  <c r="Y64" i="6" s="1"/>
  <c r="Y63" i="6" s="1"/>
  <c r="Y62" i="6" s="1"/>
  <c r="Y61" i="6" s="1"/>
  <c r="Y60" i="6" s="1"/>
  <c r="Y59" i="6" s="1"/>
  <c r="Y58" i="6" s="1"/>
  <c r="Y57" i="6" s="1"/>
  <c r="Y56" i="6" s="1"/>
  <c r="Y55" i="6" s="1"/>
  <c r="Y54" i="6" s="1"/>
  <c r="Y53" i="6" s="1"/>
  <c r="Y52" i="6" s="1"/>
  <c r="Y51" i="6" s="1"/>
  <c r="Y50" i="6" s="1"/>
  <c r="Y49" i="6" s="1"/>
  <c r="Y48" i="6" s="1"/>
  <c r="Y47" i="6" s="1"/>
  <c r="Y46" i="6" s="1"/>
  <c r="Y45" i="6" s="1"/>
  <c r="Y44" i="6" s="1"/>
  <c r="Y43" i="6" s="1"/>
  <c r="Y42" i="6" s="1"/>
  <c r="Y41" i="6" s="1"/>
  <c r="Y40" i="6" s="1"/>
  <c r="Y39" i="6" s="1"/>
  <c r="Y38" i="6" s="1"/>
  <c r="Y37" i="6" s="1"/>
  <c r="Y36" i="6" s="1"/>
  <c r="Y35" i="6" s="1"/>
  <c r="Y34" i="6" s="1"/>
  <c r="Y33" i="6" s="1"/>
  <c r="Y32" i="6" s="1"/>
  <c r="Y31" i="6" s="1"/>
  <c r="Y30" i="6" s="1"/>
  <c r="Y29" i="6" s="1"/>
  <c r="Y28" i="6" s="1"/>
  <c r="Y27" i="6" s="1"/>
  <c r="Y26" i="6" s="1"/>
  <c r="Y25" i="6" s="1"/>
  <c r="Y24" i="6" s="1"/>
  <c r="Y23" i="6" s="1"/>
  <c r="Y22" i="6" s="1"/>
  <c r="Y21" i="6" s="1"/>
  <c r="Y20" i="6" s="1"/>
  <c r="Y19" i="6" s="1"/>
  <c r="Y18" i="6" s="1"/>
  <c r="Y17" i="6" s="1"/>
  <c r="Y16" i="6" s="1"/>
  <c r="Y15" i="6" s="1"/>
  <c r="Y14" i="6" s="1"/>
  <c r="Y13" i="6" s="1"/>
  <c r="Y12" i="6" s="1"/>
  <c r="Y11" i="6" s="1"/>
  <c r="Y10" i="6" s="1"/>
  <c r="Y9" i="6" s="1"/>
  <c r="Y8" i="6" s="1"/>
  <c r="Y7" i="6" s="1"/>
  <c r="Y6" i="6" s="1"/>
  <c r="Y5" i="6" s="1"/>
  <c r="Y4" i="6" s="1"/>
  <c r="Z123" i="8"/>
  <c r="Z122" i="8" s="1"/>
  <c r="Z121" i="8" s="1"/>
  <c r="Z120" i="8" s="1"/>
  <c r="Z119" i="8" s="1"/>
  <c r="Z118" i="8" s="1"/>
  <c r="Z117" i="8" s="1"/>
  <c r="Z116" i="8" s="1"/>
  <c r="Z115" i="8" s="1"/>
  <c r="Z114" i="8" s="1"/>
  <c r="Z113" i="8" s="1"/>
  <c r="Z112" i="8" s="1"/>
  <c r="Z111" i="8" s="1"/>
  <c r="Z110" i="8" s="1"/>
  <c r="Z109" i="8" s="1"/>
  <c r="Z108" i="8" s="1"/>
  <c r="Z107" i="8" s="1"/>
  <c r="Z106" i="8" s="1"/>
  <c r="Z105" i="8" s="1"/>
  <c r="Z104" i="8" s="1"/>
  <c r="Z103" i="8" s="1"/>
  <c r="Z102" i="8" s="1"/>
  <c r="Z101" i="8" s="1"/>
  <c r="Z100" i="8" s="1"/>
  <c r="Z99" i="8" s="1"/>
  <c r="Z98" i="8" s="1"/>
  <c r="Z97" i="8" s="1"/>
  <c r="Z96" i="8" s="1"/>
  <c r="Z95" i="8" s="1"/>
  <c r="Z94" i="8" s="1"/>
  <c r="Z93" i="8" s="1"/>
  <c r="Z92" i="8" s="1"/>
  <c r="Z91" i="8" s="1"/>
  <c r="Z90" i="8" s="1"/>
  <c r="Z89" i="8" s="1"/>
  <c r="Z88" i="8" s="1"/>
  <c r="Z87" i="8" s="1"/>
  <c r="Z86" i="8" s="1"/>
  <c r="Z85" i="8" s="1"/>
  <c r="Z84" i="8" s="1"/>
  <c r="Z83" i="8" s="1"/>
  <c r="Z82" i="8" s="1"/>
  <c r="Z81" i="8" s="1"/>
  <c r="Z80" i="8" s="1"/>
  <c r="Z79" i="8" s="1"/>
  <c r="Z78" i="8" s="1"/>
  <c r="Z77" i="8" s="1"/>
  <c r="Z76" i="8" s="1"/>
  <c r="Z75" i="8" s="1"/>
  <c r="Z74" i="8" s="1"/>
  <c r="Z73" i="8" s="1"/>
  <c r="Z72" i="8" s="1"/>
  <c r="Z71" i="8" s="1"/>
  <c r="Z70" i="8" s="1"/>
  <c r="Z69" i="8" s="1"/>
  <c r="Z68" i="8" s="1"/>
  <c r="Z67" i="8" s="1"/>
  <c r="Z66" i="8" s="1"/>
  <c r="Z65" i="8" s="1"/>
  <c r="Z64" i="8" s="1"/>
  <c r="Z63" i="8" s="1"/>
  <c r="Z62" i="8" s="1"/>
  <c r="Z61" i="8" s="1"/>
  <c r="Z60" i="8" s="1"/>
  <c r="Z59" i="8" s="1"/>
  <c r="Z58" i="8" s="1"/>
  <c r="Z57" i="8" s="1"/>
  <c r="Z56" i="8" s="1"/>
  <c r="Z55" i="8" s="1"/>
  <c r="Z54" i="8" s="1"/>
  <c r="Z53" i="8" s="1"/>
  <c r="Z52" i="8" s="1"/>
  <c r="Z51" i="8" s="1"/>
  <c r="Z50" i="8" s="1"/>
  <c r="Z49" i="8" s="1"/>
  <c r="Z48" i="8" s="1"/>
  <c r="Z47" i="8" s="1"/>
  <c r="Z46" i="8" s="1"/>
  <c r="Z45" i="8" s="1"/>
  <c r="Z44" i="8" s="1"/>
  <c r="Z43" i="8" s="1"/>
  <c r="Z42" i="8" s="1"/>
  <c r="Z41" i="8" s="1"/>
  <c r="Z40" i="8" s="1"/>
  <c r="Z39" i="8" s="1"/>
  <c r="Z38" i="8" s="1"/>
  <c r="Z37" i="8" s="1"/>
  <c r="Z36" i="8" s="1"/>
  <c r="Z35" i="8" s="1"/>
  <c r="Z34" i="8" s="1"/>
  <c r="Z33" i="8" s="1"/>
  <c r="Z32" i="8" s="1"/>
  <c r="Z31" i="8" s="1"/>
  <c r="Z30" i="8" s="1"/>
  <c r="Z29" i="8" s="1"/>
  <c r="Z28" i="8" s="1"/>
  <c r="Z27" i="8" s="1"/>
  <c r="Z26" i="8" s="1"/>
  <c r="Z25" i="8" s="1"/>
  <c r="Z24" i="8" s="1"/>
  <c r="Z23" i="8" s="1"/>
  <c r="Z22" i="8" s="1"/>
  <c r="Z21" i="8" s="1"/>
  <c r="Z20" i="8" s="1"/>
  <c r="Z19" i="8" s="1"/>
  <c r="Z18" i="8" s="1"/>
  <c r="Z17" i="8" s="1"/>
  <c r="Z16" i="8" s="1"/>
  <c r="Z15" i="8" s="1"/>
  <c r="Z14" i="8" s="1"/>
  <c r="Z13" i="8" s="1"/>
  <c r="Z12" i="8" s="1"/>
  <c r="Z11" i="8" s="1"/>
  <c r="Z10" i="8" s="1"/>
  <c r="Z9" i="8" s="1"/>
  <c r="Z8" i="8" s="1"/>
  <c r="Z7" i="8" s="1"/>
  <c r="Z6" i="8" s="1"/>
  <c r="Z5" i="8" s="1"/>
  <c r="Z4" i="8" s="1"/>
  <c r="AA123" i="8"/>
  <c r="AA122" i="8" s="1"/>
  <c r="AA121" i="8" s="1"/>
  <c r="AA120" i="8" s="1"/>
  <c r="AA119" i="8" s="1"/>
  <c r="AA118" i="8" s="1"/>
  <c r="AA117" i="8" s="1"/>
  <c r="AA116" i="8" s="1"/>
  <c r="AA115" i="8" s="1"/>
  <c r="AA114" i="8" s="1"/>
  <c r="AA113" i="8" s="1"/>
  <c r="AA112" i="8" s="1"/>
  <c r="AA111" i="8" s="1"/>
  <c r="AA110" i="8" s="1"/>
  <c r="AA109" i="8" s="1"/>
  <c r="AA108" i="8" s="1"/>
  <c r="AA107" i="8" s="1"/>
  <c r="AA106" i="8" s="1"/>
  <c r="AA105" i="8" s="1"/>
  <c r="AA104" i="8" s="1"/>
  <c r="AA103" i="8" s="1"/>
  <c r="AA102" i="8" s="1"/>
  <c r="AA101" i="8" s="1"/>
  <c r="AA100" i="8" s="1"/>
  <c r="AA99" i="8" s="1"/>
  <c r="AA98" i="8" s="1"/>
  <c r="AA97" i="8" s="1"/>
  <c r="AA96" i="8" s="1"/>
  <c r="AA95" i="8" s="1"/>
  <c r="AA94" i="8" s="1"/>
  <c r="AA93" i="8" s="1"/>
  <c r="AA92" i="8" s="1"/>
  <c r="AA91" i="8" s="1"/>
  <c r="AA90" i="8" s="1"/>
  <c r="AA89" i="8" s="1"/>
  <c r="AA88" i="8" s="1"/>
  <c r="AA87" i="8" s="1"/>
  <c r="AA86" i="8" s="1"/>
  <c r="AA85" i="8" s="1"/>
  <c r="AA84" i="8" s="1"/>
  <c r="AA83" i="8" s="1"/>
  <c r="AA82" i="8" s="1"/>
  <c r="AA81" i="8" s="1"/>
  <c r="AA80" i="8" s="1"/>
  <c r="AA79" i="8" s="1"/>
  <c r="AA78" i="8" s="1"/>
  <c r="AA77" i="8" s="1"/>
  <c r="AA76" i="8" s="1"/>
  <c r="AA75" i="8" s="1"/>
  <c r="AA74" i="8" s="1"/>
  <c r="AA73" i="8" s="1"/>
  <c r="AA72" i="8" s="1"/>
  <c r="AA71" i="8" s="1"/>
  <c r="AA70" i="8" s="1"/>
  <c r="AA69" i="8" s="1"/>
  <c r="AA68" i="8" s="1"/>
  <c r="AA67" i="8" s="1"/>
  <c r="AA66" i="8" s="1"/>
  <c r="AA65" i="8" s="1"/>
  <c r="AA64" i="8" s="1"/>
  <c r="AA63" i="8" s="1"/>
  <c r="AA62" i="8" s="1"/>
  <c r="AA61" i="8" s="1"/>
  <c r="AA60" i="8" s="1"/>
  <c r="AA59" i="8" s="1"/>
  <c r="AA58" i="8" s="1"/>
  <c r="AA57" i="8" s="1"/>
  <c r="AA56" i="8" s="1"/>
  <c r="AA55" i="8" s="1"/>
  <c r="AA54" i="8" s="1"/>
  <c r="AA53" i="8" s="1"/>
  <c r="AA52" i="8" s="1"/>
  <c r="AA51" i="8" s="1"/>
  <c r="AA50" i="8" s="1"/>
  <c r="AA49" i="8" s="1"/>
  <c r="AA48" i="8" s="1"/>
  <c r="AA47" i="8" s="1"/>
  <c r="AA46" i="8" s="1"/>
  <c r="AA45" i="8" s="1"/>
  <c r="AA44" i="8" s="1"/>
  <c r="AA43" i="8" s="1"/>
  <c r="AA42" i="8" s="1"/>
  <c r="AA41" i="8" s="1"/>
  <c r="AA40" i="8" s="1"/>
  <c r="AA39" i="8" s="1"/>
  <c r="AA38" i="8" s="1"/>
  <c r="AA37" i="8" s="1"/>
  <c r="AA36" i="8" s="1"/>
  <c r="AA35" i="8" s="1"/>
  <c r="AA34" i="8" s="1"/>
  <c r="AA33" i="8" s="1"/>
  <c r="AA32" i="8" s="1"/>
  <c r="AA31" i="8" s="1"/>
  <c r="AA30" i="8" s="1"/>
  <c r="AA29" i="8" s="1"/>
  <c r="AA28" i="8" s="1"/>
  <c r="AA27" i="8" s="1"/>
  <c r="AA26" i="8" s="1"/>
  <c r="AA25" i="8" s="1"/>
  <c r="AA24" i="8" s="1"/>
  <c r="AA23" i="8" s="1"/>
  <c r="AA22" i="8" s="1"/>
  <c r="AA21" i="8" s="1"/>
  <c r="AA20" i="8" s="1"/>
  <c r="AA19" i="8" s="1"/>
  <c r="AA18" i="8" s="1"/>
  <c r="AA17" i="8" s="1"/>
  <c r="AA16" i="8" s="1"/>
  <c r="AA15" i="8" s="1"/>
  <c r="AA14" i="8" s="1"/>
  <c r="AA13" i="8" s="1"/>
  <c r="AA12" i="8" s="1"/>
  <c r="AA11" i="8" s="1"/>
  <c r="AA10" i="8" s="1"/>
  <c r="AA9" i="8" s="1"/>
  <c r="AA8" i="8" s="1"/>
  <c r="AA7" i="8" s="1"/>
  <c r="AA6" i="8" s="1"/>
  <c r="AA5" i="8" s="1"/>
  <c r="AA4" i="8" s="1"/>
</calcChain>
</file>

<file path=xl/sharedStrings.xml><?xml version="1.0" encoding="utf-8"?>
<sst xmlns="http://schemas.openxmlformats.org/spreadsheetml/2006/main" count="145" uniqueCount="86">
  <si>
    <t>Sterbetafel ÖV 1959/61 Männer - RR67</t>
  </si>
  <si>
    <t>age</t>
  </si>
  <si>
    <t>qx</t>
  </si>
  <si>
    <t/>
  </si>
  <si>
    <t>EROM/F 85 und G 1950</t>
  </si>
  <si>
    <t>Alter</t>
  </si>
  <si>
    <t>EROM 85</t>
  </si>
  <si>
    <t>EROF 85</t>
  </si>
  <si>
    <t>EROM G1950</t>
  </si>
  <si>
    <t>EROF G1950</t>
  </si>
  <si>
    <t>EROM/F G 1950 AV</t>
  </si>
  <si>
    <t>YOB</t>
  </si>
  <si>
    <t>Shift M</t>
  </si>
  <si>
    <t>Shift F</t>
  </si>
  <si>
    <t>YOB:</t>
  </si>
  <si>
    <t>AV:</t>
  </si>
  <si>
    <t>Männer</t>
  </si>
  <si>
    <t>Frauen</t>
  </si>
  <si>
    <t>AVÖ 1996R Generationentafeln</t>
  </si>
  <si>
    <t>qx1991</t>
  </si>
  <si>
    <t>trendM long</t>
  </si>
  <si>
    <t>trendM short</t>
  </si>
  <si>
    <t>factorMG</t>
  </si>
  <si>
    <t>factorM</t>
  </si>
  <si>
    <t>qy1991</t>
  </si>
  <si>
    <t>trendF long</t>
  </si>
  <si>
    <t>trendF short</t>
  </si>
  <si>
    <t>factorFG</t>
  </si>
  <si>
    <t>factorF</t>
  </si>
  <si>
    <t>Zins:</t>
  </si>
  <si>
    <t>Basistafel</t>
  </si>
  <si>
    <t>Finale Sterblichkeiten</t>
  </si>
  <si>
    <t>sof. beginnende LR</t>
  </si>
  <si>
    <t>Basis 1991M</t>
  </si>
  <si>
    <t>Basis 1991MG</t>
  </si>
  <si>
    <t>Basis 1991F</t>
  </si>
  <si>
    <t>Basis 1991FG</t>
  </si>
  <si>
    <t>Jahr</t>
  </si>
  <si>
    <t>G(Jahr)</t>
  </si>
  <si>
    <t>Männer Gruppe</t>
  </si>
  <si>
    <t>Frauen Gruppe</t>
  </si>
  <si>
    <t>Rententafel AVÖ 2005R</t>
  </si>
  <si>
    <t>Rententafel AVÖ 2005R, 2. Ordnung</t>
  </si>
  <si>
    <t>Rententafel AVÖ 2005R Unisex</t>
  </si>
  <si>
    <t>qx2001</t>
  </si>
  <si>
    <t>qx2001G</t>
  </si>
  <si>
    <t>trendM</t>
  </si>
  <si>
    <t>qy2001</t>
  </si>
  <si>
    <t>qy2001G</t>
  </si>
  <si>
    <t>trendF</t>
  </si>
  <si>
    <t>qx2001.2Ord</t>
  </si>
  <si>
    <t>qx2001G.2Ord</t>
  </si>
  <si>
    <t>trendM.2Ord</t>
  </si>
  <si>
    <t>qy2001.2Ord</t>
  </si>
  <si>
    <t>qy2001G.2Ord</t>
  </si>
  <si>
    <t>trendF.2Ord</t>
  </si>
  <si>
    <t>qu2001</t>
  </si>
  <si>
    <t>qu2001G</t>
  </si>
  <si>
    <t>trendU</t>
  </si>
  <si>
    <t>Year of Birth</t>
  </si>
  <si>
    <t>Interest:</t>
  </si>
  <si>
    <t>Trend</t>
  </si>
  <si>
    <t>Probabilities of Death (1st Order)</t>
  </si>
  <si>
    <t>Life Annuity PV</t>
  </si>
  <si>
    <t>x</t>
  </si>
  <si>
    <t>Year</t>
  </si>
  <si>
    <t>G(t)</t>
  </si>
  <si>
    <t>qy</t>
  </si>
  <si>
    <t>qu</t>
  </si>
  <si>
    <t>äx</t>
  </si>
  <si>
    <t>äy</t>
  </si>
  <si>
    <t>äu</t>
  </si>
  <si>
    <t>Rententafel AVÖ 2005-R mit Altersverschiebung, Basistafel</t>
  </si>
  <si>
    <t>qx1965</t>
  </si>
  <si>
    <t>qx1965G</t>
  </si>
  <si>
    <t>qy1965</t>
  </si>
  <si>
    <t>qy1965G</t>
  </si>
  <si>
    <t>qu1972</t>
  </si>
  <si>
    <t>qu1972G</t>
  </si>
  <si>
    <t>Rententafel AVÖ 2005-R mit AV, Verschiebung</t>
  </si>
  <si>
    <t>shiftM</t>
  </si>
  <si>
    <t>shiftMG</t>
  </si>
  <si>
    <t>shiftF</t>
  </si>
  <si>
    <t>shiftFG</t>
  </si>
  <si>
    <t>shiftU</t>
  </si>
  <si>
    <t>shiftUG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</si>
</sst>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000"/>
    <numFmt numFmtId="166" formatCode="0.0000000"/>
    <numFmt numFmtId="167" formatCode="0.00000000"/>
    <numFmt numFmtId="168" formatCode="0.0000"/>
  </numFmts>
  <fonts count="13">
    <font>
      <sz val="10"/>
      <name val="Arial"/>
      <family val="2"/>
      <charset val="1"/>
    </font>
    <font>
      <b/>
      <sz val="22"/>
      <name val="DejaVu Serif"/>
      <family val="1"/>
      <charset val="1"/>
    </font>
    <font>
      <b/>
      <sz val="26"/>
      <name val="DejaVu Serif"/>
      <family val="1"/>
      <charset val="1"/>
    </font>
    <font>
      <sz val="10"/>
      <name val="Palatino"/>
      <family val="1"/>
      <charset val="1"/>
    </font>
    <font>
      <b/>
      <sz val="10"/>
      <name val="Arial"/>
      <family val="2"/>
      <charset val="1"/>
    </font>
    <font>
      <sz val="12"/>
      <name val="Arial"/>
      <family val="2"/>
      <charset val="1"/>
    </font>
    <font>
      <b/>
      <sz val="16"/>
      <name val="Arial"/>
      <family val="2"/>
      <charset val="1"/>
    </font>
    <font>
      <sz val="20"/>
      <name val="Arial"/>
      <family val="2"/>
      <charset val="1"/>
    </font>
    <font>
      <sz val="18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i/>
      <sz val="12"/>
      <color rgb="FFFFFFFF"/>
      <name val="Arial"/>
      <family val="2"/>
      <charset val="1"/>
    </font>
    <font>
      <sz val="14"/>
      <name val="Arial"/>
      <family val="2"/>
      <charset val="1"/>
    </font>
    <font>
      <b/>
      <sz val="20"/>
      <name val="DejaVu Serif"/>
      <family val="1"/>
      <charset val="1"/>
    </font>
  </fonts>
  <fills count="9">
    <fill>
      <patternFill patternType="none"/>
    </fill>
    <fill>
      <patternFill patternType="gray125"/>
    </fill>
    <fill>
      <patternFill patternType="solid">
        <fgColor rgb="FFCCCCCC"/>
        <bgColor rgb="FFD9D9D9"/>
      </patternFill>
    </fill>
    <fill>
      <patternFill patternType="solid">
        <fgColor rgb="FFFFFF66"/>
        <bgColor rgb="FFFFFF99"/>
      </patternFill>
    </fill>
    <fill>
      <patternFill patternType="solid">
        <fgColor rgb="FFFFFF99"/>
        <bgColor rgb="FFFFFF66"/>
      </patternFill>
    </fill>
    <fill>
      <patternFill patternType="solid">
        <fgColor rgb="FF000000"/>
        <bgColor rgb="FF1F1C1B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D9D9D9"/>
        <bgColor rgb="FFCCCCCC"/>
      </patternFill>
    </fill>
  </fills>
  <borders count="15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</borders>
  <cellStyleXfs count="2">
    <xf numFmtId="0" fontId="0" fillId="0" borderId="0"/>
    <xf numFmtId="0" fontId="3" fillId="0" borderId="0"/>
  </cellStyleXfs>
  <cellXfs count="149">
    <xf numFmtId="0" fontId="0" fillId="0" borderId="0" xfId="0"/>
    <xf numFmtId="0" fontId="12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0" fillId="0" borderId="0" xfId="0" applyFont="1" applyBorder="1" applyAlignment="1">
      <alignment horizontal="right" vertical="center"/>
    </xf>
    <xf numFmtId="0" fontId="8" fillId="0" borderId="0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0" fillId="2" borderId="1" xfId="1" applyFont="1" applyFill="1" applyBorder="1" applyAlignment="1" applyProtection="1">
      <alignment horizontal="center" vertical="center"/>
      <protection locked="0"/>
    </xf>
    <xf numFmtId="0" fontId="0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 applyProtection="1">
      <alignment horizontal="center" vertical="center"/>
      <protection hidden="1"/>
    </xf>
    <xf numFmtId="0" fontId="4" fillId="2" borderId="2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0" xfId="0" applyFont="1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0" fillId="2" borderId="5" xfId="0" applyFill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0" fontId="0" fillId="2" borderId="8" xfId="0" applyFill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165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3" fillId="0" borderId="0" xfId="1"/>
    <xf numFmtId="0" fontId="0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 wrapText="1"/>
      <protection locked="0"/>
    </xf>
    <xf numFmtId="0" fontId="0" fillId="2" borderId="2" xfId="0" applyFont="1" applyFill="1" applyBorder="1" applyAlignment="1" applyProtection="1">
      <alignment horizontal="center"/>
      <protection hidden="1"/>
    </xf>
    <xf numFmtId="166" fontId="0" fillId="0" borderId="2" xfId="0" applyNumberFormat="1" applyFont="1" applyBorder="1" applyAlignment="1" applyProtection="1">
      <alignment horizontal="center"/>
      <protection hidden="1"/>
    </xf>
    <xf numFmtId="167" fontId="0" fillId="0" borderId="3" xfId="0" applyNumberFormat="1" applyFont="1" applyBorder="1" applyAlignment="1" applyProtection="1">
      <alignment horizontal="center"/>
      <protection hidden="1"/>
    </xf>
    <xf numFmtId="167" fontId="0" fillId="0" borderId="4" xfId="0" applyNumberFormat="1" applyFont="1" applyBorder="1" applyAlignment="1" applyProtection="1">
      <alignment horizontal="center"/>
      <protection hidden="1"/>
    </xf>
    <xf numFmtId="166" fontId="0" fillId="0" borderId="3" xfId="0" applyNumberFormat="1" applyFont="1" applyBorder="1" applyAlignment="1" applyProtection="1">
      <alignment horizontal="center"/>
      <protection hidden="1"/>
    </xf>
    <xf numFmtId="0" fontId="0" fillId="2" borderId="5" xfId="0" applyFont="1" applyFill="1" applyBorder="1" applyAlignment="1" applyProtection="1">
      <alignment horizontal="center"/>
      <protection hidden="1"/>
    </xf>
    <xf numFmtId="166" fontId="0" fillId="0" borderId="5" xfId="0" applyNumberFormat="1" applyFont="1" applyBorder="1" applyAlignment="1" applyProtection="1">
      <alignment horizontal="center"/>
      <protection hidden="1"/>
    </xf>
    <xf numFmtId="167" fontId="0" fillId="0" borderId="6" xfId="0" applyNumberFormat="1" applyFont="1" applyBorder="1" applyAlignment="1" applyProtection="1">
      <alignment horizontal="center"/>
      <protection hidden="1"/>
    </xf>
    <xf numFmtId="167" fontId="0" fillId="0" borderId="7" xfId="0" applyNumberFormat="1" applyFont="1" applyBorder="1" applyAlignment="1" applyProtection="1">
      <alignment horizontal="center"/>
      <protection hidden="1"/>
    </xf>
    <xf numFmtId="166" fontId="0" fillId="0" borderId="6" xfId="0" applyNumberFormat="1" applyFont="1" applyBorder="1" applyAlignment="1" applyProtection="1">
      <alignment horizontal="center"/>
      <protection hidden="1"/>
    </xf>
    <xf numFmtId="0" fontId="0" fillId="2" borderId="8" xfId="0" applyFont="1" applyFill="1" applyBorder="1" applyAlignment="1" applyProtection="1">
      <alignment horizontal="center"/>
      <protection hidden="1"/>
    </xf>
    <xf numFmtId="166" fontId="0" fillId="0" borderId="8" xfId="0" applyNumberFormat="1" applyFont="1" applyBorder="1" applyAlignment="1" applyProtection="1">
      <alignment horizontal="center"/>
      <protection hidden="1"/>
    </xf>
    <xf numFmtId="167" fontId="0" fillId="0" borderId="9" xfId="0" applyNumberFormat="1" applyFont="1" applyBorder="1" applyAlignment="1" applyProtection="1">
      <alignment horizontal="center"/>
      <protection hidden="1"/>
    </xf>
    <xf numFmtId="167" fontId="0" fillId="0" borderId="10" xfId="0" applyNumberFormat="1" applyFont="1" applyBorder="1" applyAlignment="1" applyProtection="1">
      <alignment horizontal="center"/>
      <protection hidden="1"/>
    </xf>
    <xf numFmtId="166" fontId="0" fillId="0" borderId="9" xfId="0" applyNumberFormat="1" applyFont="1" applyBorder="1" applyAlignment="1" applyProtection="1">
      <alignment horizontal="center"/>
      <protection hidden="1"/>
    </xf>
    <xf numFmtId="0" fontId="5" fillId="0" borderId="0" xfId="0" applyFont="1" applyAlignment="1">
      <alignment horizontal="center" vertical="center"/>
    </xf>
    <xf numFmtId="0" fontId="6" fillId="4" borderId="0" xfId="1" applyFont="1" applyFill="1" applyAlignment="1">
      <alignment horizontal="center" vertical="center"/>
    </xf>
    <xf numFmtId="10" fontId="6" fillId="4" borderId="0" xfId="1" applyNumberFormat="1" applyFont="1" applyFill="1" applyAlignment="1">
      <alignment horizontal="center" vertical="center"/>
    </xf>
    <xf numFmtId="0" fontId="0" fillId="0" borderId="0" xfId="1" applyFont="1" applyProtection="1">
      <protection locked="0"/>
    </xf>
    <xf numFmtId="0" fontId="0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 applyProtection="1">
      <alignment horizontal="center" vertical="center" wrapText="1"/>
      <protection hidden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4" fillId="2" borderId="11" xfId="0" applyFont="1" applyFill="1" applyBorder="1" applyAlignment="1" applyProtection="1">
      <alignment horizontal="center" vertical="center" wrapText="1"/>
      <protection locked="0"/>
    </xf>
    <xf numFmtId="0" fontId="4" fillId="2" borderId="12" xfId="0" applyFont="1" applyFill="1" applyBorder="1" applyAlignment="1" applyProtection="1">
      <alignment horizontal="center" vertical="center" wrapText="1"/>
      <protection locked="0"/>
    </xf>
    <xf numFmtId="166" fontId="0" fillId="0" borderId="3" xfId="1" applyNumberFormat="1" applyFont="1" applyBorder="1" applyProtection="1">
      <protection locked="0"/>
    </xf>
    <xf numFmtId="166" fontId="0" fillId="0" borderId="13" xfId="1" applyNumberFormat="1" applyFont="1" applyBorder="1" applyProtection="1">
      <protection locked="0"/>
    </xf>
    <xf numFmtId="166" fontId="0" fillId="0" borderId="4" xfId="1" applyNumberFormat="1" applyFont="1" applyBorder="1" applyProtection="1">
      <protection locked="0"/>
    </xf>
    <xf numFmtId="0" fontId="0" fillId="2" borderId="3" xfId="1" applyFont="1" applyFill="1" applyBorder="1" applyAlignment="1" applyProtection="1">
      <alignment horizontal="center"/>
      <protection locked="0"/>
    </xf>
    <xf numFmtId="167" fontId="0" fillId="0" borderId="4" xfId="1" applyNumberFormat="1" applyFont="1" applyBorder="1" applyAlignment="1" applyProtection="1">
      <alignment horizontal="center"/>
      <protection locked="0"/>
    </xf>
    <xf numFmtId="166" fontId="0" fillId="0" borderId="3" xfId="1" applyNumberFormat="1" applyFont="1" applyBorder="1" applyAlignment="1" applyProtection="1">
      <alignment horizontal="center"/>
      <protection locked="0"/>
    </xf>
    <xf numFmtId="166" fontId="0" fillId="0" borderId="4" xfId="1" applyNumberFormat="1" applyFont="1" applyBorder="1" applyAlignment="1" applyProtection="1">
      <alignment horizontal="center"/>
      <protection locked="0"/>
    </xf>
    <xf numFmtId="166" fontId="0" fillId="0" borderId="13" xfId="1" applyNumberFormat="1" applyFont="1" applyBorder="1" applyAlignment="1" applyProtection="1">
      <alignment horizontal="center"/>
      <protection locked="0"/>
    </xf>
    <xf numFmtId="168" fontId="0" fillId="0" borderId="3" xfId="1" applyNumberFormat="1" applyFont="1" applyBorder="1" applyAlignment="1" applyProtection="1">
      <alignment horizontal="center"/>
      <protection locked="0"/>
    </xf>
    <xf numFmtId="168" fontId="0" fillId="0" borderId="4" xfId="1" applyNumberFormat="1" applyFont="1" applyBorder="1" applyAlignment="1" applyProtection="1">
      <alignment horizontal="center"/>
      <protection locked="0"/>
    </xf>
    <xf numFmtId="166" fontId="0" fillId="0" borderId="6" xfId="1" applyNumberFormat="1" applyFont="1" applyBorder="1" applyProtection="1">
      <protection locked="0"/>
    </xf>
    <xf numFmtId="166" fontId="0" fillId="0" borderId="0" xfId="1" applyNumberFormat="1" applyFont="1" applyProtection="1">
      <protection locked="0"/>
    </xf>
    <xf numFmtId="166" fontId="0" fillId="0" borderId="7" xfId="1" applyNumberFormat="1" applyFont="1" applyBorder="1" applyProtection="1">
      <protection locked="0"/>
    </xf>
    <xf numFmtId="0" fontId="0" fillId="2" borderId="6" xfId="1" applyFont="1" applyFill="1" applyBorder="1" applyAlignment="1" applyProtection="1">
      <alignment horizontal="center"/>
      <protection locked="0"/>
    </xf>
    <xf numFmtId="167" fontId="0" fillId="0" borderId="7" xfId="1" applyNumberFormat="1" applyFont="1" applyBorder="1" applyAlignment="1" applyProtection="1">
      <alignment horizontal="center"/>
      <protection locked="0"/>
    </xf>
    <xf numFmtId="166" fontId="0" fillId="0" borderId="6" xfId="1" applyNumberFormat="1" applyFont="1" applyBorder="1" applyAlignment="1" applyProtection="1">
      <alignment horizontal="center"/>
      <protection locked="0"/>
    </xf>
    <xf numFmtId="166" fontId="0" fillId="0" borderId="7" xfId="1" applyNumberFormat="1" applyFont="1" applyBorder="1" applyAlignment="1" applyProtection="1">
      <alignment horizontal="center"/>
      <protection locked="0"/>
    </xf>
    <xf numFmtId="166" fontId="0" fillId="0" borderId="0" xfId="1" applyNumberFormat="1" applyFont="1" applyAlignment="1" applyProtection="1">
      <alignment horizontal="center"/>
      <protection locked="0"/>
    </xf>
    <xf numFmtId="168" fontId="0" fillId="0" borderId="6" xfId="1" applyNumberFormat="1" applyFont="1" applyBorder="1" applyAlignment="1" applyProtection="1">
      <alignment horizontal="center"/>
      <protection locked="0"/>
    </xf>
    <xf numFmtId="168" fontId="0" fillId="0" borderId="7" xfId="1" applyNumberFormat="1" applyFont="1" applyBorder="1" applyAlignment="1" applyProtection="1">
      <alignment horizontal="center"/>
      <protection locked="0"/>
    </xf>
    <xf numFmtId="166" fontId="0" fillId="0" borderId="9" xfId="1" applyNumberFormat="1" applyFont="1" applyBorder="1" applyProtection="1">
      <protection locked="0"/>
    </xf>
    <xf numFmtId="166" fontId="0" fillId="0" borderId="14" xfId="1" applyNumberFormat="1" applyFont="1" applyBorder="1" applyProtection="1">
      <protection locked="0"/>
    </xf>
    <xf numFmtId="166" fontId="0" fillId="0" borderId="10" xfId="1" applyNumberFormat="1" applyFont="1" applyBorder="1" applyProtection="1">
      <protection locked="0"/>
    </xf>
    <xf numFmtId="0" fontId="0" fillId="2" borderId="9" xfId="1" applyFont="1" applyFill="1" applyBorder="1" applyAlignment="1" applyProtection="1">
      <alignment horizontal="center"/>
      <protection locked="0"/>
    </xf>
    <xf numFmtId="167" fontId="0" fillId="0" borderId="10" xfId="1" applyNumberFormat="1" applyFont="1" applyBorder="1" applyAlignment="1" applyProtection="1">
      <alignment horizontal="center"/>
      <protection locked="0"/>
    </xf>
    <xf numFmtId="166" fontId="0" fillId="0" borderId="9" xfId="1" applyNumberFormat="1" applyFont="1" applyBorder="1" applyAlignment="1" applyProtection="1">
      <alignment horizontal="center"/>
      <protection locked="0"/>
    </xf>
    <xf numFmtId="166" fontId="0" fillId="0" borderId="10" xfId="1" applyNumberFormat="1" applyFont="1" applyBorder="1" applyAlignment="1" applyProtection="1">
      <alignment horizontal="center"/>
      <protection locked="0"/>
    </xf>
    <xf numFmtId="166" fontId="0" fillId="0" borderId="14" xfId="1" applyNumberFormat="1" applyFont="1" applyBorder="1" applyAlignment="1" applyProtection="1">
      <alignment horizontal="center"/>
      <protection locked="0"/>
    </xf>
    <xf numFmtId="168" fontId="0" fillId="0" borderId="9" xfId="1" applyNumberFormat="1" applyFont="1" applyBorder="1" applyAlignment="1" applyProtection="1">
      <alignment horizontal="center"/>
      <protection locked="0"/>
    </xf>
    <xf numFmtId="168" fontId="0" fillId="0" borderId="10" xfId="1" applyNumberFormat="1" applyFont="1" applyBorder="1" applyAlignment="1" applyProtection="1">
      <alignment horizontal="center"/>
      <protection locked="0"/>
    </xf>
    <xf numFmtId="0" fontId="0" fillId="0" borderId="0" xfId="0" applyFont="1" applyBorder="1"/>
    <xf numFmtId="0" fontId="9" fillId="5" borderId="3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165" fontId="5" fillId="6" borderId="0" xfId="0" applyNumberFormat="1" applyFont="1" applyFill="1" applyBorder="1" applyAlignment="1">
      <alignment horizontal="center"/>
    </xf>
    <xf numFmtId="165" fontId="5" fillId="6" borderId="7" xfId="0" applyNumberFormat="1" applyFont="1" applyFill="1" applyBorder="1" applyAlignment="1">
      <alignment horizontal="center"/>
    </xf>
    <xf numFmtId="165" fontId="5" fillId="6" borderId="14" xfId="0" applyNumberFormat="1" applyFont="1" applyFill="1" applyBorder="1" applyAlignment="1">
      <alignment horizontal="center"/>
    </xf>
    <xf numFmtId="165" fontId="5" fillId="6" borderId="10" xfId="0" applyNumberFormat="1" applyFont="1" applyFill="1" applyBorder="1" applyAlignment="1">
      <alignment horizontal="center"/>
    </xf>
    <xf numFmtId="165" fontId="0" fillId="0" borderId="0" xfId="0" applyNumberFormat="1"/>
    <xf numFmtId="0" fontId="4" fillId="0" borderId="0" xfId="0" applyFont="1" applyAlignment="1">
      <alignment horizontal="right" vertical="center"/>
    </xf>
    <xf numFmtId="0" fontId="6" fillId="4" borderId="1" xfId="0" applyFont="1" applyFill="1" applyBorder="1" applyAlignment="1">
      <alignment horizontal="center" vertical="center"/>
    </xf>
    <xf numFmtId="0" fontId="0" fillId="0" borderId="0" xfId="1" applyFont="1" applyAlignment="1" applyProtection="1">
      <alignment vertical="center"/>
      <protection locked="0"/>
    </xf>
    <xf numFmtId="165" fontId="0" fillId="0" borderId="0" xfId="0" applyNumberFormat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/>
    </xf>
    <xf numFmtId="168" fontId="0" fillId="0" borderId="3" xfId="0" applyNumberFormat="1" applyFont="1" applyBorder="1"/>
    <xf numFmtId="168" fontId="0" fillId="0" borderId="13" xfId="0" applyNumberFormat="1" applyFont="1" applyBorder="1"/>
    <xf numFmtId="168" fontId="0" fillId="0" borderId="4" xfId="0" applyNumberFormat="1" applyFont="1" applyBorder="1"/>
    <xf numFmtId="2" fontId="0" fillId="0" borderId="5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8" fontId="0" fillId="0" borderId="6" xfId="0" applyNumberFormat="1" applyFont="1" applyBorder="1"/>
    <xf numFmtId="168" fontId="0" fillId="0" borderId="0" xfId="0" applyNumberFormat="1" applyFont="1" applyBorder="1"/>
    <xf numFmtId="168" fontId="0" fillId="0" borderId="7" xfId="0" applyNumberFormat="1" applyFont="1" applyBorder="1"/>
    <xf numFmtId="2" fontId="0" fillId="0" borderId="8" xfId="0" applyNumberFormat="1" applyBorder="1" applyAlignment="1">
      <alignment horizontal="center"/>
    </xf>
    <xf numFmtId="165" fontId="0" fillId="0" borderId="14" xfId="0" applyNumberFormat="1" applyBorder="1" applyAlignment="1">
      <alignment horizontal="center"/>
    </xf>
    <xf numFmtId="168" fontId="0" fillId="0" borderId="9" xfId="0" applyNumberFormat="1" applyFont="1" applyBorder="1"/>
    <xf numFmtId="168" fontId="0" fillId="0" borderId="14" xfId="0" applyNumberFormat="1" applyFont="1" applyBorder="1"/>
    <xf numFmtId="168" fontId="0" fillId="0" borderId="10" xfId="0" applyNumberFormat="1" applyFont="1" applyBorder="1"/>
    <xf numFmtId="0" fontId="11" fillId="0" borderId="0" xfId="0" applyFont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0" fillId="2" borderId="6" xfId="0" applyFont="1" applyFill="1" applyBorder="1" applyAlignment="1">
      <alignment horizontal="center"/>
    </xf>
    <xf numFmtId="165" fontId="0" fillId="7" borderId="3" xfId="0" applyNumberFormat="1" applyFont="1" applyFill="1" applyBorder="1" applyAlignment="1">
      <alignment horizontal="center"/>
    </xf>
    <xf numFmtId="165" fontId="0" fillId="7" borderId="4" xfId="0" applyNumberFormat="1" applyFont="1" applyFill="1" applyBorder="1" applyAlignment="1">
      <alignment horizontal="center"/>
    </xf>
    <xf numFmtId="165" fontId="0" fillId="6" borderId="3" xfId="0" applyNumberFormat="1" applyFont="1" applyFill="1" applyBorder="1" applyAlignment="1">
      <alignment horizontal="center"/>
    </xf>
    <xf numFmtId="165" fontId="0" fillId="6" borderId="4" xfId="0" applyNumberFormat="1" applyFont="1" applyFill="1" applyBorder="1" applyAlignment="1">
      <alignment horizontal="center"/>
    </xf>
    <xf numFmtId="165" fontId="0" fillId="7" borderId="6" xfId="0" applyNumberFormat="1" applyFont="1" applyFill="1" applyBorder="1" applyAlignment="1">
      <alignment horizontal="center"/>
    </xf>
    <xf numFmtId="165" fontId="0" fillId="7" borderId="7" xfId="0" applyNumberFormat="1" applyFont="1" applyFill="1" applyBorder="1" applyAlignment="1">
      <alignment horizontal="center"/>
    </xf>
    <xf numFmtId="165" fontId="0" fillId="6" borderId="6" xfId="0" applyNumberFormat="1" applyFont="1" applyFill="1" applyBorder="1" applyAlignment="1">
      <alignment horizontal="center"/>
    </xf>
    <xf numFmtId="165" fontId="0" fillId="6" borderId="7" xfId="0" applyNumberFormat="1" applyFont="1" applyFill="1" applyBorder="1" applyAlignment="1">
      <alignment horizontal="center"/>
    </xf>
    <xf numFmtId="165" fontId="0" fillId="8" borderId="7" xfId="0" applyNumberFormat="1" applyFont="1" applyFill="1" applyBorder="1" applyAlignment="1">
      <alignment horizontal="center"/>
    </xf>
    <xf numFmtId="0" fontId="0" fillId="2" borderId="9" xfId="0" applyFont="1" applyFill="1" applyBorder="1" applyAlignment="1">
      <alignment horizontal="center"/>
    </xf>
    <xf numFmtId="165" fontId="0" fillId="6" borderId="9" xfId="0" applyNumberFormat="1" applyFont="1" applyFill="1" applyBorder="1" applyAlignment="1">
      <alignment horizontal="center"/>
    </xf>
    <xf numFmtId="165" fontId="0" fillId="6" borderId="10" xfId="0" applyNumberFormat="1" applyFont="1" applyFill="1" applyBorder="1" applyAlignment="1">
      <alignment horizontal="center"/>
    </xf>
    <xf numFmtId="165" fontId="0" fillId="8" borderId="10" xfId="0" applyNumberFormat="1" applyFont="1" applyFill="1" applyBorder="1" applyAlignment="1">
      <alignment horizontal="center"/>
    </xf>
    <xf numFmtId="0" fontId="0" fillId="8" borderId="0" xfId="0" applyFill="1" applyBorder="1"/>
    <xf numFmtId="0" fontId="4" fillId="2" borderId="1" xfId="0" applyFont="1" applyFill="1" applyBorder="1" applyAlignment="1">
      <alignment horizontal="center" wrapText="1"/>
    </xf>
    <xf numFmtId="0" fontId="0" fillId="2" borderId="2" xfId="0" applyFont="1" applyFill="1" applyBorder="1" applyAlignment="1">
      <alignment horizontal="center"/>
    </xf>
    <xf numFmtId="0" fontId="0" fillId="7" borderId="3" xfId="0" applyFont="1" applyFill="1" applyBorder="1" applyAlignment="1">
      <alignment horizontal="center"/>
    </xf>
    <xf numFmtId="0" fontId="0" fillId="7" borderId="4" xfId="0" applyFont="1" applyFill="1" applyBorder="1" applyAlignment="1">
      <alignment horizontal="center"/>
    </xf>
    <xf numFmtId="0" fontId="0" fillId="2" borderId="5" xfId="0" applyFont="1" applyFill="1" applyBorder="1" applyAlignment="1">
      <alignment horizontal="center"/>
    </xf>
    <xf numFmtId="0" fontId="0" fillId="7" borderId="6" xfId="0" applyFont="1" applyFill="1" applyBorder="1" applyAlignment="1">
      <alignment horizontal="center"/>
    </xf>
    <xf numFmtId="0" fontId="0" fillId="7" borderId="7" xfId="0" applyFont="1" applyFill="1" applyBorder="1" applyAlignment="1">
      <alignment horizontal="center"/>
    </xf>
    <xf numFmtId="0" fontId="0" fillId="6" borderId="6" xfId="0" applyFont="1" applyFill="1" applyBorder="1" applyAlignment="1">
      <alignment horizontal="center"/>
    </xf>
    <xf numFmtId="0" fontId="0" fillId="6" borderId="7" xfId="0" applyFont="1" applyFill="1" applyBorder="1" applyAlignment="1">
      <alignment horizontal="center"/>
    </xf>
    <xf numFmtId="0" fontId="0" fillId="2" borderId="8" xfId="0" applyFont="1" applyFill="1" applyBorder="1" applyAlignment="1">
      <alignment horizontal="center"/>
    </xf>
  </cellXfs>
  <cellStyles count="2">
    <cellStyle name="Erklärender Text" xfId="1" builtinId="53" customBuiltin="1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6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B3B3B3"/>
      <rgbColor rgb="FF004586"/>
      <rgbColor rgb="FF579D1C"/>
      <rgbColor rgb="FF003300"/>
      <rgbColor rgb="FF333300"/>
      <rgbColor rgb="FF993300"/>
      <rgbColor rgb="FF993366"/>
      <rgbColor rgb="FF333399"/>
      <rgbColor rgb="FF1F1C1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4.4628099173553697E-2"/>
          <c:y val="9.9907755623359101E-2"/>
          <c:w val="0.92212333121423995"/>
          <c:h val="0.82026537997587401"/>
        </c:manualLayout>
      </c:layout>
      <c:lineChart>
        <c:grouping val="standard"/>
        <c:varyColors val="1"/>
        <c:ser>
          <c:idx val="0"/>
          <c:order val="0"/>
          <c:tx>
            <c:strRef>
              <c:f>'EROM-F Beispiel'!$B$3</c:f>
              <c:strCache>
                <c:ptCount val="1"/>
                <c:pt idx="0">
                  <c:v>EROM 85</c:v>
                </c:pt>
              </c:strCache>
            </c:strRef>
          </c:tx>
          <c:spPr>
            <a:ln w="37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'EROM-F Beispiel'!$A$4:$A$104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'EROM-F Beispiel'!$B$4:$B$104</c:f>
              <c:numCache>
                <c:formatCode>0.000000</c:formatCode>
                <c:ptCount val="101"/>
                <c:pt idx="0">
                  <c:v>1.555E-3</c:v>
                </c:pt>
                <c:pt idx="1">
                  <c:v>1.0399999999999999E-4</c:v>
                </c:pt>
                <c:pt idx="2">
                  <c:v>6.6000000000000005E-5</c:v>
                </c:pt>
                <c:pt idx="3">
                  <c:v>6.3999999999999997E-5</c:v>
                </c:pt>
                <c:pt idx="4">
                  <c:v>6.0999999999999999E-5</c:v>
                </c:pt>
                <c:pt idx="5">
                  <c:v>5.8999999999999998E-5</c:v>
                </c:pt>
                <c:pt idx="6">
                  <c:v>6.2000000000000003E-5</c:v>
                </c:pt>
                <c:pt idx="7">
                  <c:v>6.7000000000000002E-5</c:v>
                </c:pt>
                <c:pt idx="8">
                  <c:v>6.8999999999999997E-5</c:v>
                </c:pt>
                <c:pt idx="9">
                  <c:v>5.8E-5</c:v>
                </c:pt>
                <c:pt idx="10">
                  <c:v>5.1E-5</c:v>
                </c:pt>
                <c:pt idx="11">
                  <c:v>4.6999999999999997E-5</c:v>
                </c:pt>
                <c:pt idx="12">
                  <c:v>5.3999999999999998E-5</c:v>
                </c:pt>
                <c:pt idx="13">
                  <c:v>7.4999999999999993E-5</c:v>
                </c:pt>
                <c:pt idx="14">
                  <c:v>1.2E-4</c:v>
                </c:pt>
                <c:pt idx="15">
                  <c:v>2.8800000000000001E-4</c:v>
                </c:pt>
                <c:pt idx="16">
                  <c:v>7.0699999999999995E-4</c:v>
                </c:pt>
                <c:pt idx="17">
                  <c:v>1.1919999999999999E-3</c:v>
                </c:pt>
                <c:pt idx="18">
                  <c:v>1.506E-3</c:v>
                </c:pt>
                <c:pt idx="19">
                  <c:v>1.426E-3</c:v>
                </c:pt>
                <c:pt idx="20">
                  <c:v>1.201E-3</c:v>
                </c:pt>
                <c:pt idx="21">
                  <c:v>1.0139999999999999E-3</c:v>
                </c:pt>
                <c:pt idx="22">
                  <c:v>9.0499999999999999E-4</c:v>
                </c:pt>
                <c:pt idx="23">
                  <c:v>8.4099999999999995E-4</c:v>
                </c:pt>
                <c:pt idx="24">
                  <c:v>8.0400000000000003E-4</c:v>
                </c:pt>
                <c:pt idx="25">
                  <c:v>7.7099999999999998E-4</c:v>
                </c:pt>
                <c:pt idx="26">
                  <c:v>7.5100000000000004E-4</c:v>
                </c:pt>
                <c:pt idx="27">
                  <c:v>7.3800000000000005E-4</c:v>
                </c:pt>
                <c:pt idx="28">
                  <c:v>7.27E-4</c:v>
                </c:pt>
                <c:pt idx="29">
                  <c:v>7.2000000000000005E-4</c:v>
                </c:pt>
                <c:pt idx="30">
                  <c:v>7.1699999999999997E-4</c:v>
                </c:pt>
                <c:pt idx="31">
                  <c:v>7.2400000000000003E-4</c:v>
                </c:pt>
                <c:pt idx="32">
                  <c:v>7.3999999999999999E-4</c:v>
                </c:pt>
                <c:pt idx="33">
                  <c:v>7.7700000000000002E-4</c:v>
                </c:pt>
                <c:pt idx="34">
                  <c:v>8.3699999999999996E-4</c:v>
                </c:pt>
                <c:pt idx="35">
                  <c:v>9.2299999999999999E-4</c:v>
                </c:pt>
                <c:pt idx="36">
                  <c:v>1.0349999999999999E-3</c:v>
                </c:pt>
                <c:pt idx="37">
                  <c:v>1.1720000000000001E-3</c:v>
                </c:pt>
                <c:pt idx="38">
                  <c:v>1.328E-3</c:v>
                </c:pt>
                <c:pt idx="39">
                  <c:v>1.488E-3</c:v>
                </c:pt>
                <c:pt idx="40">
                  <c:v>1.6639999999999999E-3</c:v>
                </c:pt>
                <c:pt idx="41">
                  <c:v>1.874E-3</c:v>
                </c:pt>
                <c:pt idx="42">
                  <c:v>2.1250000000000002E-3</c:v>
                </c:pt>
                <c:pt idx="43">
                  <c:v>2.415E-3</c:v>
                </c:pt>
                <c:pt idx="44">
                  <c:v>2.722E-3</c:v>
                </c:pt>
                <c:pt idx="45">
                  <c:v>3.0200000000000001E-3</c:v>
                </c:pt>
                <c:pt idx="46">
                  <c:v>3.3219999999999999E-3</c:v>
                </c:pt>
                <c:pt idx="47">
                  <c:v>3.63E-3</c:v>
                </c:pt>
                <c:pt idx="48">
                  <c:v>3.954E-3</c:v>
                </c:pt>
                <c:pt idx="49">
                  <c:v>4.3030000000000004E-3</c:v>
                </c:pt>
                <c:pt idx="50">
                  <c:v>4.6750000000000003E-3</c:v>
                </c:pt>
                <c:pt idx="51">
                  <c:v>5.0769999999999999E-3</c:v>
                </c:pt>
                <c:pt idx="52">
                  <c:v>5.5129999999999997E-3</c:v>
                </c:pt>
                <c:pt idx="53">
                  <c:v>5.9740000000000001E-3</c:v>
                </c:pt>
                <c:pt idx="54">
                  <c:v>6.4530000000000004E-3</c:v>
                </c:pt>
                <c:pt idx="55">
                  <c:v>6.9350000000000002E-3</c:v>
                </c:pt>
                <c:pt idx="56">
                  <c:v>7.5100000000000002E-3</c:v>
                </c:pt>
                <c:pt idx="57">
                  <c:v>8.1530000000000005E-3</c:v>
                </c:pt>
                <c:pt idx="58">
                  <c:v>8.8299999999999993E-3</c:v>
                </c:pt>
                <c:pt idx="59">
                  <c:v>9.5230000000000002E-3</c:v>
                </c:pt>
                <c:pt idx="60">
                  <c:v>1.0214000000000001E-2</c:v>
                </c:pt>
                <c:pt idx="61">
                  <c:v>1.0931E-2</c:v>
                </c:pt>
                <c:pt idx="62">
                  <c:v>1.1766E-2</c:v>
                </c:pt>
                <c:pt idx="63">
                  <c:v>1.278E-2</c:v>
                </c:pt>
                <c:pt idx="64">
                  <c:v>1.4024E-2</c:v>
                </c:pt>
                <c:pt idx="65">
                  <c:v>1.5509E-2</c:v>
                </c:pt>
                <c:pt idx="66">
                  <c:v>1.7316000000000002E-2</c:v>
                </c:pt>
                <c:pt idx="67">
                  <c:v>1.95E-2</c:v>
                </c:pt>
                <c:pt idx="68">
                  <c:v>2.2259999999999999E-2</c:v>
                </c:pt>
                <c:pt idx="69">
                  <c:v>2.4924000000000002E-2</c:v>
                </c:pt>
                <c:pt idx="70">
                  <c:v>2.7872999999999998E-2</c:v>
                </c:pt>
                <c:pt idx="71">
                  <c:v>3.0984000000000001E-2</c:v>
                </c:pt>
                <c:pt idx="72">
                  <c:v>3.4618000000000003E-2</c:v>
                </c:pt>
                <c:pt idx="73">
                  <c:v>3.9137999999999999E-2</c:v>
                </c:pt>
                <c:pt idx="74">
                  <c:v>4.403E-2</c:v>
                </c:pt>
                <c:pt idx="75">
                  <c:v>4.9069000000000002E-2</c:v>
                </c:pt>
                <c:pt idx="76">
                  <c:v>5.4401999999999999E-2</c:v>
                </c:pt>
                <c:pt idx="77">
                  <c:v>6.0066000000000001E-2</c:v>
                </c:pt>
                <c:pt idx="78">
                  <c:v>6.5698000000000006E-2</c:v>
                </c:pt>
                <c:pt idx="79">
                  <c:v>7.0960999999999996E-2</c:v>
                </c:pt>
                <c:pt idx="80">
                  <c:v>7.7577999999999994E-2</c:v>
                </c:pt>
                <c:pt idx="81">
                  <c:v>8.5150000000000003E-2</c:v>
                </c:pt>
                <c:pt idx="82">
                  <c:v>9.2984999999999998E-2</c:v>
                </c:pt>
                <c:pt idx="83">
                  <c:v>0.100797</c:v>
                </c:pt>
                <c:pt idx="84">
                  <c:v>0.108483</c:v>
                </c:pt>
                <c:pt idx="85">
                  <c:v>0.11647200000000001</c:v>
                </c:pt>
                <c:pt idx="86">
                  <c:v>0.12548899999999999</c:v>
                </c:pt>
                <c:pt idx="87">
                  <c:v>0.13506399999999999</c:v>
                </c:pt>
                <c:pt idx="88">
                  <c:v>0.14519599999999999</c:v>
                </c:pt>
                <c:pt idx="89">
                  <c:v>0.15595899999999999</c:v>
                </c:pt>
                <c:pt idx="90">
                  <c:v>0.167458</c:v>
                </c:pt>
                <c:pt idx="91">
                  <c:v>0.179812</c:v>
                </c:pt>
                <c:pt idx="92">
                  <c:v>0.193049</c:v>
                </c:pt>
                <c:pt idx="93">
                  <c:v>0.20707300000000001</c:v>
                </c:pt>
                <c:pt idx="94">
                  <c:v>0.22164800000000001</c:v>
                </c:pt>
                <c:pt idx="95">
                  <c:v>0.23639299999999999</c:v>
                </c:pt>
                <c:pt idx="96">
                  <c:v>0.24938199999999999</c:v>
                </c:pt>
                <c:pt idx="97">
                  <c:v>0.26180700000000001</c:v>
                </c:pt>
                <c:pt idx="98">
                  <c:v>0.273532</c:v>
                </c:pt>
                <c:pt idx="99">
                  <c:v>0.28447499999999998</c:v>
                </c:pt>
                <c:pt idx="10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B-4CA9-8ED7-FC0A1870071A}"/>
            </c:ext>
          </c:extLst>
        </c:ser>
        <c:ser>
          <c:idx val="1"/>
          <c:order val="1"/>
          <c:tx>
            <c:strRef>
              <c:f>'EROM-F Beispiel'!$C$3</c:f>
              <c:strCache>
                <c:ptCount val="1"/>
                <c:pt idx="0">
                  <c:v>EROF 85</c:v>
                </c:pt>
              </c:strCache>
            </c:strRef>
          </c:tx>
          <c:spPr>
            <a:ln w="37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'EROM-F Beispiel'!$A$4:$A$104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'EROM-F Beispiel'!$C$4:$C$104</c:f>
              <c:numCache>
                <c:formatCode>0.000000</c:formatCode>
                <c:ptCount val="101"/>
                <c:pt idx="0">
                  <c:v>1.1609999999999999E-3</c:v>
                </c:pt>
                <c:pt idx="1">
                  <c:v>7.6000000000000004E-5</c:v>
                </c:pt>
                <c:pt idx="2">
                  <c:v>4.3999999999999999E-5</c:v>
                </c:pt>
                <c:pt idx="3">
                  <c:v>4.3999999999999999E-5</c:v>
                </c:pt>
                <c:pt idx="4">
                  <c:v>4.3000000000000002E-5</c:v>
                </c:pt>
                <c:pt idx="5">
                  <c:v>4.6E-5</c:v>
                </c:pt>
                <c:pt idx="6">
                  <c:v>5.1999999999999997E-5</c:v>
                </c:pt>
                <c:pt idx="7">
                  <c:v>5.1999999999999997E-5</c:v>
                </c:pt>
                <c:pt idx="8">
                  <c:v>4.1E-5</c:v>
                </c:pt>
                <c:pt idx="9">
                  <c:v>3.4999999999999997E-5</c:v>
                </c:pt>
                <c:pt idx="10">
                  <c:v>3.4E-5</c:v>
                </c:pt>
                <c:pt idx="11">
                  <c:v>3.6000000000000001E-5</c:v>
                </c:pt>
                <c:pt idx="12">
                  <c:v>4.0000000000000003E-5</c:v>
                </c:pt>
                <c:pt idx="13">
                  <c:v>4.8999999999999998E-5</c:v>
                </c:pt>
                <c:pt idx="14">
                  <c:v>7.3999999999999996E-5</c:v>
                </c:pt>
                <c:pt idx="15">
                  <c:v>1.26E-4</c:v>
                </c:pt>
                <c:pt idx="16">
                  <c:v>1.76E-4</c:v>
                </c:pt>
                <c:pt idx="17">
                  <c:v>1.7799999999999999E-4</c:v>
                </c:pt>
                <c:pt idx="18">
                  <c:v>1.63E-4</c:v>
                </c:pt>
                <c:pt idx="19">
                  <c:v>1.44E-4</c:v>
                </c:pt>
                <c:pt idx="20">
                  <c:v>1.2300000000000001E-4</c:v>
                </c:pt>
                <c:pt idx="21">
                  <c:v>1.0900000000000001E-4</c:v>
                </c:pt>
                <c:pt idx="22">
                  <c:v>1.03E-4</c:v>
                </c:pt>
                <c:pt idx="23">
                  <c:v>1.01E-4</c:v>
                </c:pt>
                <c:pt idx="24">
                  <c:v>1.01E-4</c:v>
                </c:pt>
                <c:pt idx="25">
                  <c:v>9.8999999999999994E-5</c:v>
                </c:pt>
                <c:pt idx="26">
                  <c:v>1.02E-4</c:v>
                </c:pt>
                <c:pt idx="27">
                  <c:v>1.07E-4</c:v>
                </c:pt>
                <c:pt idx="28">
                  <c:v>1.16E-4</c:v>
                </c:pt>
                <c:pt idx="29">
                  <c:v>1.26E-4</c:v>
                </c:pt>
                <c:pt idx="30">
                  <c:v>1.3999999999999999E-4</c:v>
                </c:pt>
                <c:pt idx="31">
                  <c:v>1.6699999999999999E-4</c:v>
                </c:pt>
                <c:pt idx="32">
                  <c:v>2.12E-4</c:v>
                </c:pt>
                <c:pt idx="33">
                  <c:v>2.7099999999999997E-4</c:v>
                </c:pt>
                <c:pt idx="34">
                  <c:v>3.3199999999999999E-4</c:v>
                </c:pt>
                <c:pt idx="35">
                  <c:v>3.88E-4</c:v>
                </c:pt>
                <c:pt idx="36">
                  <c:v>4.2900000000000002E-4</c:v>
                </c:pt>
                <c:pt idx="37">
                  <c:v>4.55E-4</c:v>
                </c:pt>
                <c:pt idx="38">
                  <c:v>4.6900000000000002E-4</c:v>
                </c:pt>
                <c:pt idx="39">
                  <c:v>4.84E-4</c:v>
                </c:pt>
                <c:pt idx="40">
                  <c:v>5.13E-4</c:v>
                </c:pt>
                <c:pt idx="41">
                  <c:v>5.62E-4</c:v>
                </c:pt>
                <c:pt idx="42">
                  <c:v>6.3599999999999996E-4</c:v>
                </c:pt>
                <c:pt idx="43">
                  <c:v>7.3099999999999999E-4</c:v>
                </c:pt>
                <c:pt idx="44">
                  <c:v>8.43E-4</c:v>
                </c:pt>
                <c:pt idx="45">
                  <c:v>9.5500000000000001E-4</c:v>
                </c:pt>
                <c:pt idx="46">
                  <c:v>1.0660000000000001E-3</c:v>
                </c:pt>
                <c:pt idx="47">
                  <c:v>1.17E-3</c:v>
                </c:pt>
                <c:pt idx="48">
                  <c:v>1.276E-3</c:v>
                </c:pt>
                <c:pt idx="49">
                  <c:v>1.389E-3</c:v>
                </c:pt>
                <c:pt idx="50">
                  <c:v>1.5169999999999999E-3</c:v>
                </c:pt>
                <c:pt idx="51">
                  <c:v>1.6620000000000001E-3</c:v>
                </c:pt>
                <c:pt idx="52">
                  <c:v>1.823E-3</c:v>
                </c:pt>
                <c:pt idx="53">
                  <c:v>2.0170000000000001E-3</c:v>
                </c:pt>
                <c:pt idx="54">
                  <c:v>2.2269999999999998E-3</c:v>
                </c:pt>
                <c:pt idx="55">
                  <c:v>2.4499999999999999E-3</c:v>
                </c:pt>
                <c:pt idx="56">
                  <c:v>2.7330000000000002E-3</c:v>
                </c:pt>
                <c:pt idx="57">
                  <c:v>3.0249999999999999E-3</c:v>
                </c:pt>
                <c:pt idx="58">
                  <c:v>3.3189999999999999E-3</c:v>
                </c:pt>
                <c:pt idx="59">
                  <c:v>3.63E-3</c:v>
                </c:pt>
                <c:pt idx="60">
                  <c:v>3.9519999999999998E-3</c:v>
                </c:pt>
                <c:pt idx="61">
                  <c:v>4.2960000000000003E-3</c:v>
                </c:pt>
                <c:pt idx="62">
                  <c:v>4.6690000000000004E-3</c:v>
                </c:pt>
                <c:pt idx="63">
                  <c:v>5.045E-3</c:v>
                </c:pt>
                <c:pt idx="64">
                  <c:v>5.4359999999999999E-3</c:v>
                </c:pt>
                <c:pt idx="65">
                  <c:v>5.8849999999999996E-3</c:v>
                </c:pt>
                <c:pt idx="66">
                  <c:v>6.4539999999999997E-3</c:v>
                </c:pt>
                <c:pt idx="67">
                  <c:v>7.0559999999999998E-3</c:v>
                </c:pt>
                <c:pt idx="68">
                  <c:v>8.0070000000000002E-3</c:v>
                </c:pt>
                <c:pt idx="69">
                  <c:v>9.0340000000000004E-3</c:v>
                </c:pt>
                <c:pt idx="70">
                  <c:v>1.0291E-2</c:v>
                </c:pt>
                <c:pt idx="71">
                  <c:v>1.2087000000000001E-2</c:v>
                </c:pt>
                <c:pt idx="72">
                  <c:v>1.4083999999999999E-2</c:v>
                </c:pt>
                <c:pt idx="73">
                  <c:v>1.6299000000000001E-2</c:v>
                </c:pt>
                <c:pt idx="74">
                  <c:v>1.8950000000000002E-2</c:v>
                </c:pt>
                <c:pt idx="75">
                  <c:v>2.1999000000000001E-2</c:v>
                </c:pt>
                <c:pt idx="76">
                  <c:v>2.5426000000000001E-2</c:v>
                </c:pt>
                <c:pt idx="77">
                  <c:v>2.9368999999999999E-2</c:v>
                </c:pt>
                <c:pt idx="78">
                  <c:v>3.3988999999999998E-2</c:v>
                </c:pt>
                <c:pt idx="79">
                  <c:v>3.9334000000000001E-2</c:v>
                </c:pt>
                <c:pt idx="80">
                  <c:v>4.5567000000000003E-2</c:v>
                </c:pt>
                <c:pt idx="81">
                  <c:v>5.2854999999999999E-2</c:v>
                </c:pt>
                <c:pt idx="82">
                  <c:v>6.1274000000000002E-2</c:v>
                </c:pt>
                <c:pt idx="83">
                  <c:v>7.0805999999999994E-2</c:v>
                </c:pt>
                <c:pt idx="84">
                  <c:v>8.1295000000000006E-2</c:v>
                </c:pt>
                <c:pt idx="85">
                  <c:v>9.2534000000000005E-2</c:v>
                </c:pt>
                <c:pt idx="86">
                  <c:v>0.103852</c:v>
                </c:pt>
                <c:pt idx="87">
                  <c:v>0.115687</c:v>
                </c:pt>
                <c:pt idx="88">
                  <c:v>0.12814800000000001</c:v>
                </c:pt>
                <c:pt idx="89">
                  <c:v>0.14124500000000001</c:v>
                </c:pt>
                <c:pt idx="90">
                  <c:v>0.15495500000000001</c:v>
                </c:pt>
                <c:pt idx="91">
                  <c:v>0.16925100000000001</c:v>
                </c:pt>
                <c:pt idx="92">
                  <c:v>0.18396100000000001</c:v>
                </c:pt>
                <c:pt idx="93">
                  <c:v>0.19884399999999999</c:v>
                </c:pt>
                <c:pt idx="94">
                  <c:v>0.21366399999999999</c:v>
                </c:pt>
                <c:pt idx="95">
                  <c:v>0.228073</c:v>
                </c:pt>
                <c:pt idx="96">
                  <c:v>0.24334700000000001</c:v>
                </c:pt>
                <c:pt idx="97">
                  <c:v>0.25798300000000002</c:v>
                </c:pt>
                <c:pt idx="98">
                  <c:v>0.27188400000000001</c:v>
                </c:pt>
                <c:pt idx="99">
                  <c:v>0.28487400000000002</c:v>
                </c:pt>
                <c:pt idx="10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B-4CA9-8ED7-FC0A1870071A}"/>
            </c:ext>
          </c:extLst>
        </c:ser>
        <c:ser>
          <c:idx val="2"/>
          <c:order val="2"/>
          <c:tx>
            <c:strRef>
              <c:f>'EROM-F Beispiel'!$D$3</c:f>
              <c:strCache>
                <c:ptCount val="1"/>
                <c:pt idx="0">
                  <c:v>EROM G1950</c:v>
                </c:pt>
              </c:strCache>
            </c:strRef>
          </c:tx>
          <c:spPr>
            <a:ln w="37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'EROM-F Beispiel'!$A$4:$A$104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'EROM-F Beispiel'!$D$4:$D$104</c:f>
              <c:numCache>
                <c:formatCode>0.000000</c:formatCode>
                <c:ptCount val="101"/>
                <c:pt idx="0">
                  <c:v>5.6384999999999998E-2</c:v>
                </c:pt>
                <c:pt idx="1">
                  <c:v>3.9740000000000001E-3</c:v>
                </c:pt>
                <c:pt idx="2">
                  <c:v>1.9220000000000001E-3</c:v>
                </c:pt>
                <c:pt idx="3">
                  <c:v>1.4480000000000001E-3</c:v>
                </c:pt>
                <c:pt idx="4">
                  <c:v>1.1019999999999999E-3</c:v>
                </c:pt>
                <c:pt idx="5">
                  <c:v>8.5499999999999997E-4</c:v>
                </c:pt>
                <c:pt idx="6">
                  <c:v>6.8300000000000001E-4</c:v>
                </c:pt>
                <c:pt idx="7">
                  <c:v>5.6800000000000004E-4</c:v>
                </c:pt>
                <c:pt idx="8">
                  <c:v>4.8899999999999996E-4</c:v>
                </c:pt>
                <c:pt idx="9">
                  <c:v>4.4499999999999997E-4</c:v>
                </c:pt>
                <c:pt idx="10">
                  <c:v>4.17E-4</c:v>
                </c:pt>
                <c:pt idx="11">
                  <c:v>4.0200000000000001E-4</c:v>
                </c:pt>
                <c:pt idx="12">
                  <c:v>4.1399999999999998E-4</c:v>
                </c:pt>
                <c:pt idx="13">
                  <c:v>4.57E-4</c:v>
                </c:pt>
                <c:pt idx="14">
                  <c:v>5.3300000000000005E-4</c:v>
                </c:pt>
                <c:pt idx="15">
                  <c:v>6.9999999999999999E-4</c:v>
                </c:pt>
                <c:pt idx="16">
                  <c:v>9.59E-4</c:v>
                </c:pt>
                <c:pt idx="17">
                  <c:v>1.2260000000000001E-3</c:v>
                </c:pt>
                <c:pt idx="18">
                  <c:v>1.4450000000000001E-3</c:v>
                </c:pt>
                <c:pt idx="19">
                  <c:v>1.544E-3</c:v>
                </c:pt>
                <c:pt idx="20">
                  <c:v>1.5460000000000001E-3</c:v>
                </c:pt>
                <c:pt idx="21">
                  <c:v>1.493E-3</c:v>
                </c:pt>
                <c:pt idx="22">
                  <c:v>1.4289999999999999E-3</c:v>
                </c:pt>
                <c:pt idx="23">
                  <c:v>1.3699999999999999E-3</c:v>
                </c:pt>
                <c:pt idx="24">
                  <c:v>1.32E-3</c:v>
                </c:pt>
                <c:pt idx="25">
                  <c:v>1.286E-3</c:v>
                </c:pt>
                <c:pt idx="26">
                  <c:v>1.2700000000000001E-3</c:v>
                </c:pt>
                <c:pt idx="27">
                  <c:v>1.2600000000000001E-3</c:v>
                </c:pt>
                <c:pt idx="28">
                  <c:v>1.25E-3</c:v>
                </c:pt>
                <c:pt idx="29">
                  <c:v>1.243E-3</c:v>
                </c:pt>
                <c:pt idx="30">
                  <c:v>1.242E-3</c:v>
                </c:pt>
                <c:pt idx="31">
                  <c:v>1.2440000000000001E-3</c:v>
                </c:pt>
                <c:pt idx="32">
                  <c:v>1.2539999999999999E-3</c:v>
                </c:pt>
                <c:pt idx="33">
                  <c:v>1.2819999999999999E-3</c:v>
                </c:pt>
                <c:pt idx="34">
                  <c:v>1.333E-3</c:v>
                </c:pt>
                <c:pt idx="35">
                  <c:v>1.4139999999999999E-3</c:v>
                </c:pt>
                <c:pt idx="36">
                  <c:v>1.5219999999999999E-3</c:v>
                </c:pt>
                <c:pt idx="37">
                  <c:v>1.653E-3</c:v>
                </c:pt>
                <c:pt idx="38">
                  <c:v>1.802E-3</c:v>
                </c:pt>
                <c:pt idx="39">
                  <c:v>1.9599999999999999E-3</c:v>
                </c:pt>
                <c:pt idx="40">
                  <c:v>2.14E-3</c:v>
                </c:pt>
                <c:pt idx="41">
                  <c:v>2.3470000000000001E-3</c:v>
                </c:pt>
                <c:pt idx="42">
                  <c:v>2.5860000000000002E-3</c:v>
                </c:pt>
                <c:pt idx="43">
                  <c:v>2.862E-3</c:v>
                </c:pt>
                <c:pt idx="44">
                  <c:v>3.163E-3</c:v>
                </c:pt>
                <c:pt idx="45">
                  <c:v>3.48E-3</c:v>
                </c:pt>
                <c:pt idx="46">
                  <c:v>3.8170000000000001E-3</c:v>
                </c:pt>
                <c:pt idx="47">
                  <c:v>4.1720000000000004E-3</c:v>
                </c:pt>
                <c:pt idx="48">
                  <c:v>4.5459999999999997E-3</c:v>
                </c:pt>
                <c:pt idx="49">
                  <c:v>4.9430000000000003E-3</c:v>
                </c:pt>
                <c:pt idx="50">
                  <c:v>5.3600000000000002E-3</c:v>
                </c:pt>
                <c:pt idx="51">
                  <c:v>5.8019999999999999E-3</c:v>
                </c:pt>
                <c:pt idx="52">
                  <c:v>6.2709999999999997E-3</c:v>
                </c:pt>
                <c:pt idx="53">
                  <c:v>6.8609999999999999E-3</c:v>
                </c:pt>
                <c:pt idx="54">
                  <c:v>7.2659999999999999E-3</c:v>
                </c:pt>
                <c:pt idx="55">
                  <c:v>7.7739999999999997E-3</c:v>
                </c:pt>
                <c:pt idx="56">
                  <c:v>8.3569999999999998E-3</c:v>
                </c:pt>
                <c:pt idx="57">
                  <c:v>8.9949999999999995E-3</c:v>
                </c:pt>
                <c:pt idx="58">
                  <c:v>9.6640000000000007E-3</c:v>
                </c:pt>
                <c:pt idx="59">
                  <c:v>1.0349000000000001E-2</c:v>
                </c:pt>
                <c:pt idx="60">
                  <c:v>1.1035E-2</c:v>
                </c:pt>
                <c:pt idx="61">
                  <c:v>1.174E-2</c:v>
                </c:pt>
                <c:pt idx="62">
                  <c:v>1.2548E-2</c:v>
                </c:pt>
                <c:pt idx="63">
                  <c:v>1.3518000000000001E-2</c:v>
                </c:pt>
                <c:pt idx="64">
                  <c:v>1.4703000000000001E-2</c:v>
                </c:pt>
                <c:pt idx="65">
                  <c:v>1.6114E-2</c:v>
                </c:pt>
                <c:pt idx="66">
                  <c:v>1.7826999999999999E-2</c:v>
                </c:pt>
                <c:pt idx="67">
                  <c:v>1.9899E-2</c:v>
                </c:pt>
                <c:pt idx="68">
                  <c:v>2.2530000000000001E-2</c:v>
                </c:pt>
                <c:pt idx="69">
                  <c:v>2.5065E-2</c:v>
                </c:pt>
                <c:pt idx="70">
                  <c:v>2.7872999999999998E-2</c:v>
                </c:pt>
                <c:pt idx="71">
                  <c:v>3.0828000000000001E-2</c:v>
                </c:pt>
                <c:pt idx="72">
                  <c:v>3.4296E-2</c:v>
                </c:pt>
                <c:pt idx="73">
                  <c:v>3.8646E-2</c:v>
                </c:pt>
                <c:pt idx="74">
                  <c:v>4.3368999999999998E-2</c:v>
                </c:pt>
                <c:pt idx="75">
                  <c:v>4.8214E-2</c:v>
                </c:pt>
                <c:pt idx="76">
                  <c:v>5.3333999999999999E-2</c:v>
                </c:pt>
                <c:pt idx="77">
                  <c:v>5.8767E-2</c:v>
                </c:pt>
                <c:pt idx="78">
                  <c:v>6.4103999999999994E-2</c:v>
                </c:pt>
                <c:pt idx="79">
                  <c:v>6.8857000000000002E-2</c:v>
                </c:pt>
                <c:pt idx="80">
                  <c:v>7.5003E-2</c:v>
                </c:pt>
                <c:pt idx="81">
                  <c:v>8.2123000000000002E-2</c:v>
                </c:pt>
                <c:pt idx="82">
                  <c:v>8.9452000000000004E-2</c:v>
                </c:pt>
                <c:pt idx="83">
                  <c:v>9.6661999999999998E-2</c:v>
                </c:pt>
                <c:pt idx="84">
                  <c:v>0.103614</c:v>
                </c:pt>
                <c:pt idx="85">
                  <c:v>0.11067399999999999</c:v>
                </c:pt>
                <c:pt idx="86">
                  <c:v>0.11883100000000001</c:v>
                </c:pt>
                <c:pt idx="87">
                  <c:v>0.12736700000000001</c:v>
                </c:pt>
                <c:pt idx="88">
                  <c:v>0.136349</c:v>
                </c:pt>
                <c:pt idx="89">
                  <c:v>0.14587</c:v>
                </c:pt>
                <c:pt idx="90">
                  <c:v>0.156053</c:v>
                </c:pt>
                <c:pt idx="91">
                  <c:v>0.16700499999999999</c:v>
                </c:pt>
                <c:pt idx="92">
                  <c:v>0.178783</c:v>
                </c:pt>
                <c:pt idx="93">
                  <c:v>0.19125</c:v>
                </c:pt>
                <c:pt idx="94">
                  <c:v>0.20410300000000001</c:v>
                </c:pt>
                <c:pt idx="95">
                  <c:v>0.21684800000000001</c:v>
                </c:pt>
                <c:pt idx="96">
                  <c:v>0.22756499999999999</c:v>
                </c:pt>
                <c:pt idx="97">
                  <c:v>0.237257</c:v>
                </c:pt>
                <c:pt idx="98">
                  <c:v>0.24571999999999999</c:v>
                </c:pt>
                <c:pt idx="99">
                  <c:v>0.25282900000000003</c:v>
                </c:pt>
                <c:pt idx="10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B-4CA9-8ED7-FC0A1870071A}"/>
            </c:ext>
          </c:extLst>
        </c:ser>
        <c:ser>
          <c:idx val="3"/>
          <c:order val="3"/>
          <c:tx>
            <c:strRef>
              <c:f>'EROM-F Beispiel'!$E$3</c:f>
              <c:strCache>
                <c:ptCount val="1"/>
                <c:pt idx="0">
                  <c:v>EROF G1950</c:v>
                </c:pt>
              </c:strCache>
            </c:strRef>
          </c:tx>
          <c:spPr>
            <a:ln w="37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'EROM-F Beispiel'!$A$4:$A$104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'EROM-F Beispiel'!$E$4:$E$104</c:f>
              <c:numCache>
                <c:formatCode>0.000000</c:formatCode>
                <c:ptCount val="101"/>
                <c:pt idx="0">
                  <c:v>4.9623E-2</c:v>
                </c:pt>
                <c:pt idx="1">
                  <c:v>3.9649999999999998E-3</c:v>
                </c:pt>
                <c:pt idx="2">
                  <c:v>2.1970000000000002E-3</c:v>
                </c:pt>
                <c:pt idx="3">
                  <c:v>1.5709999999999999E-3</c:v>
                </c:pt>
                <c:pt idx="4">
                  <c:v>1.1230000000000001E-3</c:v>
                </c:pt>
                <c:pt idx="5">
                  <c:v>8.1099999999999998E-4</c:v>
                </c:pt>
                <c:pt idx="6">
                  <c:v>6.0700000000000001E-4</c:v>
                </c:pt>
                <c:pt idx="7">
                  <c:v>4.7199999999999998E-4</c:v>
                </c:pt>
                <c:pt idx="8">
                  <c:v>3.88E-4</c:v>
                </c:pt>
                <c:pt idx="9">
                  <c:v>3.4600000000000001E-4</c:v>
                </c:pt>
                <c:pt idx="10">
                  <c:v>3.2699999999999998E-4</c:v>
                </c:pt>
                <c:pt idx="11">
                  <c:v>3.1799999999999998E-4</c:v>
                </c:pt>
                <c:pt idx="12">
                  <c:v>3.2899999999999997E-4</c:v>
                </c:pt>
                <c:pt idx="13">
                  <c:v>3.57E-4</c:v>
                </c:pt>
                <c:pt idx="14">
                  <c:v>4.0999999999999999E-4</c:v>
                </c:pt>
                <c:pt idx="15">
                  <c:v>4.8799999999999999E-4</c:v>
                </c:pt>
                <c:pt idx="16">
                  <c:v>5.6099999999999998E-4</c:v>
                </c:pt>
                <c:pt idx="17">
                  <c:v>5.9900000000000003E-4</c:v>
                </c:pt>
                <c:pt idx="18">
                  <c:v>6.1300000000000005E-4</c:v>
                </c:pt>
                <c:pt idx="19">
                  <c:v>6.1399999999999996E-4</c:v>
                </c:pt>
                <c:pt idx="20">
                  <c:v>5.9999999999999995E-4</c:v>
                </c:pt>
                <c:pt idx="21">
                  <c:v>5.8E-4</c:v>
                </c:pt>
                <c:pt idx="22">
                  <c:v>5.6700000000000001E-4</c:v>
                </c:pt>
                <c:pt idx="23">
                  <c:v>5.5900000000000004E-4</c:v>
                </c:pt>
                <c:pt idx="24">
                  <c:v>5.4799999999999998E-4</c:v>
                </c:pt>
                <c:pt idx="25">
                  <c:v>5.3799999999999996E-4</c:v>
                </c:pt>
                <c:pt idx="26">
                  <c:v>5.31E-4</c:v>
                </c:pt>
                <c:pt idx="27">
                  <c:v>5.2899999999999996E-4</c:v>
                </c:pt>
                <c:pt idx="28">
                  <c:v>5.3300000000000005E-4</c:v>
                </c:pt>
                <c:pt idx="29">
                  <c:v>5.3700000000000004E-4</c:v>
                </c:pt>
                <c:pt idx="30">
                  <c:v>5.4900000000000001E-4</c:v>
                </c:pt>
                <c:pt idx="31">
                  <c:v>5.8100000000000003E-4</c:v>
                </c:pt>
                <c:pt idx="32">
                  <c:v>6.3400000000000001E-4</c:v>
                </c:pt>
                <c:pt idx="33">
                  <c:v>6.9999999999999999E-4</c:v>
                </c:pt>
                <c:pt idx="34">
                  <c:v>7.67E-4</c:v>
                </c:pt>
                <c:pt idx="35">
                  <c:v>8.3000000000000001E-4</c:v>
                </c:pt>
                <c:pt idx="36">
                  <c:v>8.83E-4</c:v>
                </c:pt>
                <c:pt idx="37">
                  <c:v>9.2299999999999999E-4</c:v>
                </c:pt>
                <c:pt idx="38">
                  <c:v>9.5100000000000002E-4</c:v>
                </c:pt>
                <c:pt idx="39">
                  <c:v>9.7799999999999992E-4</c:v>
                </c:pt>
                <c:pt idx="40">
                  <c:v>1.0189999999999999E-3</c:v>
                </c:pt>
                <c:pt idx="41">
                  <c:v>1.0790000000000001E-3</c:v>
                </c:pt>
                <c:pt idx="42">
                  <c:v>1.1640000000000001E-3</c:v>
                </c:pt>
                <c:pt idx="43">
                  <c:v>1.2700000000000001E-3</c:v>
                </c:pt>
                <c:pt idx="44">
                  <c:v>1.395E-3</c:v>
                </c:pt>
                <c:pt idx="45">
                  <c:v>1.5219999999999999E-3</c:v>
                </c:pt>
                <c:pt idx="46">
                  <c:v>1.65E-3</c:v>
                </c:pt>
                <c:pt idx="47">
                  <c:v>1.7730000000000001E-3</c:v>
                </c:pt>
                <c:pt idx="48">
                  <c:v>1.897E-3</c:v>
                </c:pt>
                <c:pt idx="49">
                  <c:v>2.0270000000000002E-3</c:v>
                </c:pt>
                <c:pt idx="50">
                  <c:v>2.1679999999999998E-3</c:v>
                </c:pt>
                <c:pt idx="51">
                  <c:v>2.3210000000000001E-3</c:v>
                </c:pt>
                <c:pt idx="52">
                  <c:v>2.4919999999999999E-3</c:v>
                </c:pt>
                <c:pt idx="53">
                  <c:v>2.6819999999999999E-3</c:v>
                </c:pt>
                <c:pt idx="54">
                  <c:v>2.895E-3</c:v>
                </c:pt>
                <c:pt idx="55">
                  <c:v>3.1220000000000002E-3</c:v>
                </c:pt>
                <c:pt idx="56">
                  <c:v>3.4069999999999999E-3</c:v>
                </c:pt>
                <c:pt idx="57">
                  <c:v>3.6960000000000001E-3</c:v>
                </c:pt>
                <c:pt idx="58">
                  <c:v>3.9849999999999998E-3</c:v>
                </c:pt>
                <c:pt idx="59">
                  <c:v>4.2929999999999999E-3</c:v>
                </c:pt>
                <c:pt idx="60">
                  <c:v>4.6119999999999998E-3</c:v>
                </c:pt>
                <c:pt idx="61">
                  <c:v>4.9519999999999998E-3</c:v>
                </c:pt>
                <c:pt idx="62">
                  <c:v>5.3109999999999997E-3</c:v>
                </c:pt>
                <c:pt idx="63">
                  <c:v>5.6639999999999998E-3</c:v>
                </c:pt>
                <c:pt idx="64">
                  <c:v>6.0200000000000002E-3</c:v>
                </c:pt>
                <c:pt idx="65">
                  <c:v>6.4229999999999999E-3</c:v>
                </c:pt>
                <c:pt idx="66">
                  <c:v>6.9300000000000004E-3</c:v>
                </c:pt>
                <c:pt idx="67">
                  <c:v>7.5500000000000003E-3</c:v>
                </c:pt>
                <c:pt idx="68">
                  <c:v>8.2959999999999996E-3</c:v>
                </c:pt>
                <c:pt idx="69">
                  <c:v>9.1940000000000008E-3</c:v>
                </c:pt>
                <c:pt idx="70">
                  <c:v>1.0291E-2</c:v>
                </c:pt>
                <c:pt idx="71">
                  <c:v>1.1889E-2</c:v>
                </c:pt>
                <c:pt idx="72">
                  <c:v>1.3646E-2</c:v>
                </c:pt>
                <c:pt idx="73">
                  <c:v>1.5573999999999999E-2</c:v>
                </c:pt>
                <c:pt idx="74">
                  <c:v>1.7881999999999999E-2</c:v>
                </c:pt>
                <c:pt idx="75">
                  <c:v>2.0521999999999999E-2</c:v>
                </c:pt>
                <c:pt idx="76">
                  <c:v>2.3466000000000001E-2</c:v>
                </c:pt>
                <c:pt idx="77">
                  <c:v>2.6845000000000001E-2</c:v>
                </c:pt>
                <c:pt idx="78">
                  <c:v>3.0818000000000002E-2</c:v>
                </c:pt>
                <c:pt idx="79">
                  <c:v>3.5438999999999998E-2</c:v>
                </c:pt>
                <c:pt idx="80">
                  <c:v>4.088E-2</c:v>
                </c:pt>
                <c:pt idx="81">
                  <c:v>4.7331999999999999E-2</c:v>
                </c:pt>
                <c:pt idx="82">
                  <c:v>5.4890000000000001E-2</c:v>
                </c:pt>
                <c:pt idx="83">
                  <c:v>6.3557000000000002E-2</c:v>
                </c:pt>
                <c:pt idx="84">
                  <c:v>7.3207999999999995E-2</c:v>
                </c:pt>
                <c:pt idx="85">
                  <c:v>8.3628999999999995E-2</c:v>
                </c:pt>
                <c:pt idx="86">
                  <c:v>9.4214000000000006E-2</c:v>
                </c:pt>
                <c:pt idx="87">
                  <c:v>0.105352</c:v>
                </c:pt>
                <c:pt idx="88">
                  <c:v>0.117174</c:v>
                </c:pt>
                <c:pt idx="89">
                  <c:v>0.12970400000000001</c:v>
                </c:pt>
                <c:pt idx="90">
                  <c:v>0.14292099999999999</c:v>
                </c:pt>
                <c:pt idx="91">
                  <c:v>0.15670100000000001</c:v>
                </c:pt>
                <c:pt idx="92">
                  <c:v>0.17113800000000001</c:v>
                </c:pt>
                <c:pt idx="93">
                  <c:v>0.18562500000000001</c:v>
                </c:pt>
                <c:pt idx="94">
                  <c:v>0.19994799999999999</c:v>
                </c:pt>
                <c:pt idx="95">
                  <c:v>0.21362800000000001</c:v>
                </c:pt>
                <c:pt idx="96">
                  <c:v>0.22773299999999999</c:v>
                </c:pt>
                <c:pt idx="97">
                  <c:v>0.24073900000000001</c:v>
                </c:pt>
                <c:pt idx="98">
                  <c:v>0.25241400000000003</c:v>
                </c:pt>
                <c:pt idx="99">
                  <c:v>0.26263999999999998</c:v>
                </c:pt>
                <c:pt idx="10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B-4CA9-8ED7-FC0A18700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37648805"/>
        <c:axId val="98437659"/>
      </c:lineChart>
      <c:catAx>
        <c:axId val="3764880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strike="noStrike" spc="-1">
                <a:solidFill>
                  <a:srgbClr val="1F1C1B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endParaRPr lang="de-DE"/>
          </a:p>
        </c:txPr>
        <c:crossAx val="98437659"/>
        <c:crosses val="autoZero"/>
        <c:auto val="1"/>
        <c:lblAlgn val="ctr"/>
        <c:lblOffset val="100"/>
        <c:noMultiLvlLbl val="1"/>
      </c:catAx>
      <c:valAx>
        <c:axId val="98437659"/>
        <c:scaling>
          <c:logBase val="10"/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0.000000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strike="noStrike" spc="-1">
                <a:solidFill>
                  <a:srgbClr val="1F1C1B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endParaRPr lang="de-DE"/>
          </a:p>
        </c:txPr>
        <c:crossAx val="37648805"/>
        <c:crosses val="autoZero"/>
        <c:crossBetween val="between"/>
      </c:valAx>
      <c:spPr>
        <a:noFill/>
        <a:ln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27082008900190702"/>
          <c:y val="0.16015042929113699"/>
        </c:manualLayout>
      </c:layout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title>
      <c:tx>
        <c:rich>
          <a:bodyPr/>
          <a:lstStyle/>
          <a:p>
            <a:pPr>
              <a:defRPr sz="252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sz="252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Main Title</a:t>
            </a:r>
          </a:p>
        </c:rich>
      </c:tx>
      <c:layout>
        <c:manualLayout>
          <c:xMode val="edge"/>
          <c:yMode val="edge"/>
          <c:x val="0.42578054339568"/>
          <c:y val="2.5368103601206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2.4999095546470802E-2"/>
          <c:y val="0.18068121341138901"/>
          <c:w val="0.84964364530950398"/>
          <c:h val="0.80796522973212703"/>
        </c:manualLayout>
      </c:layout>
      <c:lineChart>
        <c:grouping val="standard"/>
        <c:varyColors val="1"/>
        <c:ser>
          <c:idx val="0"/>
          <c:order val="0"/>
          <c:tx>
            <c:strRef>
              <c:f>'AVOe 2005R AV Basistafel'!$B$3:$B$3</c:f>
              <c:strCache>
                <c:ptCount val="1"/>
                <c:pt idx="0">
                  <c:v>qx1965</c:v>
                </c:pt>
              </c:strCache>
            </c:strRef>
          </c:tx>
          <c:spPr>
            <a:ln w="12600">
              <a:solidFill>
                <a:srgbClr val="9999F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'AVOe 2005R AV Basistafel'!$A$4:$A$124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'AVOe 2005R AV Basistafel'!$B$4:$B$124</c:f>
              <c:numCache>
                <c:formatCode>0.000000</c:formatCode>
                <c:ptCount val="121"/>
                <c:pt idx="0">
                  <c:v>2.296E-4</c:v>
                </c:pt>
                <c:pt idx="1">
                  <c:v>2.296E-4</c:v>
                </c:pt>
                <c:pt idx="2">
                  <c:v>2.296E-4</c:v>
                </c:pt>
                <c:pt idx="3">
                  <c:v>2.296E-4</c:v>
                </c:pt>
                <c:pt idx="4">
                  <c:v>2.296E-4</c:v>
                </c:pt>
                <c:pt idx="5">
                  <c:v>2.296E-4</c:v>
                </c:pt>
                <c:pt idx="6">
                  <c:v>2.296E-4</c:v>
                </c:pt>
                <c:pt idx="7">
                  <c:v>2.296E-4</c:v>
                </c:pt>
                <c:pt idx="8">
                  <c:v>2.296E-4</c:v>
                </c:pt>
                <c:pt idx="9">
                  <c:v>2.296E-4</c:v>
                </c:pt>
                <c:pt idx="10">
                  <c:v>2.296E-4</c:v>
                </c:pt>
                <c:pt idx="11">
                  <c:v>2.296E-4</c:v>
                </c:pt>
                <c:pt idx="12">
                  <c:v>2.296E-4</c:v>
                </c:pt>
                <c:pt idx="13">
                  <c:v>2.8959999999999999E-4</c:v>
                </c:pt>
                <c:pt idx="14">
                  <c:v>2.8959999999999999E-4</c:v>
                </c:pt>
                <c:pt idx="15">
                  <c:v>5.2879999999999995E-4</c:v>
                </c:pt>
                <c:pt idx="16">
                  <c:v>7.26462211582119E-4</c:v>
                </c:pt>
                <c:pt idx="17">
                  <c:v>7.26462211582119E-4</c:v>
                </c:pt>
                <c:pt idx="18">
                  <c:v>7.26462211582119E-4</c:v>
                </c:pt>
                <c:pt idx="19">
                  <c:v>7.26462211582119E-4</c:v>
                </c:pt>
                <c:pt idx="20">
                  <c:v>7.26462211582119E-4</c:v>
                </c:pt>
                <c:pt idx="21">
                  <c:v>7.26462211582119E-4</c:v>
                </c:pt>
                <c:pt idx="22">
                  <c:v>7.26462211582119E-4</c:v>
                </c:pt>
                <c:pt idx="23">
                  <c:v>7.26462211582119E-4</c:v>
                </c:pt>
                <c:pt idx="24">
                  <c:v>7.26462211582119E-4</c:v>
                </c:pt>
                <c:pt idx="25">
                  <c:v>7.26462211582119E-4</c:v>
                </c:pt>
                <c:pt idx="26">
                  <c:v>7.26462211582119E-4</c:v>
                </c:pt>
                <c:pt idx="27">
                  <c:v>7.26462211582119E-4</c:v>
                </c:pt>
                <c:pt idx="28">
                  <c:v>7.26462211582119E-4</c:v>
                </c:pt>
                <c:pt idx="29">
                  <c:v>7.26462211582119E-4</c:v>
                </c:pt>
                <c:pt idx="30">
                  <c:v>7.26462211582119E-4</c:v>
                </c:pt>
                <c:pt idx="31">
                  <c:v>7.26462211582119E-4</c:v>
                </c:pt>
                <c:pt idx="32">
                  <c:v>7.26462211582119E-4</c:v>
                </c:pt>
                <c:pt idx="33">
                  <c:v>7.4087896442813397E-4</c:v>
                </c:pt>
                <c:pt idx="34">
                  <c:v>7.4087896442813397E-4</c:v>
                </c:pt>
                <c:pt idx="35">
                  <c:v>8.1801851595964805E-4</c:v>
                </c:pt>
                <c:pt idx="36">
                  <c:v>9.5783999999999995E-4</c:v>
                </c:pt>
                <c:pt idx="37">
                  <c:v>1.0222597022376801E-3</c:v>
                </c:pt>
                <c:pt idx="38">
                  <c:v>1.10874461992133E-3</c:v>
                </c:pt>
                <c:pt idx="39">
                  <c:v>1.20718451962765E-3</c:v>
                </c:pt>
                <c:pt idx="40">
                  <c:v>1.3097406908700901E-3</c:v>
                </c:pt>
                <c:pt idx="41">
                  <c:v>1.3835303676753201E-3</c:v>
                </c:pt>
                <c:pt idx="42">
                  <c:v>1.4491084742024401E-3</c:v>
                </c:pt>
                <c:pt idx="43">
                  <c:v>1.5116135357604501E-3</c:v>
                </c:pt>
                <c:pt idx="44">
                  <c:v>1.57911383288481E-3</c:v>
                </c:pt>
                <c:pt idx="45">
                  <c:v>1.65495835842235E-3</c:v>
                </c:pt>
                <c:pt idx="46">
                  <c:v>1.7399750367417699E-3</c:v>
                </c:pt>
                <c:pt idx="47">
                  <c:v>1.83103845266799E-3</c:v>
                </c:pt>
                <c:pt idx="48">
                  <c:v>1.9308943186128499E-3</c:v>
                </c:pt>
                <c:pt idx="49">
                  <c:v>2.04127130206383E-3</c:v>
                </c:pt>
                <c:pt idx="50">
                  <c:v>2.1600502639086299E-3</c:v>
                </c:pt>
                <c:pt idx="51">
                  <c:v>2.28049907887325E-3</c:v>
                </c:pt>
                <c:pt idx="52">
                  <c:v>2.3935415168634799E-3</c:v>
                </c:pt>
                <c:pt idx="53">
                  <c:v>2.49359427060887E-3</c:v>
                </c:pt>
                <c:pt idx="54">
                  <c:v>2.5784055253264301E-3</c:v>
                </c:pt>
                <c:pt idx="55">
                  <c:v>2.6487919120797899E-3</c:v>
                </c:pt>
                <c:pt idx="56">
                  <c:v>2.7086563505100501E-3</c:v>
                </c:pt>
                <c:pt idx="57">
                  <c:v>2.76118241741935E-3</c:v>
                </c:pt>
                <c:pt idx="58">
                  <c:v>2.8092667084555602E-3</c:v>
                </c:pt>
                <c:pt idx="59">
                  <c:v>2.8581877850189499E-3</c:v>
                </c:pt>
                <c:pt idx="60">
                  <c:v>2.9160999103535201E-3</c:v>
                </c:pt>
                <c:pt idx="61">
                  <c:v>3.0791533603013298E-3</c:v>
                </c:pt>
                <c:pt idx="62">
                  <c:v>3.2766746806052799E-3</c:v>
                </c:pt>
                <c:pt idx="63">
                  <c:v>3.5139529112212802E-3</c:v>
                </c:pt>
                <c:pt idx="64">
                  <c:v>3.7906048939013999E-3</c:v>
                </c:pt>
                <c:pt idx="65">
                  <c:v>4.1016263671639604E-3</c:v>
                </c:pt>
                <c:pt idx="66">
                  <c:v>4.4440886060869199E-3</c:v>
                </c:pt>
                <c:pt idx="67">
                  <c:v>4.8183097103799101E-3</c:v>
                </c:pt>
                <c:pt idx="68">
                  <c:v>5.22673050208468E-3</c:v>
                </c:pt>
                <c:pt idx="69">
                  <c:v>5.6718046996459496E-3</c:v>
                </c:pt>
                <c:pt idx="70">
                  <c:v>6.1567803673308902E-3</c:v>
                </c:pt>
                <c:pt idx="71">
                  <c:v>6.6872670716541498E-3</c:v>
                </c:pt>
                <c:pt idx="72">
                  <c:v>7.2709701956186496E-3</c:v>
                </c:pt>
                <c:pt idx="73">
                  <c:v>7.9189547350916999E-3</c:v>
                </c:pt>
                <c:pt idx="74">
                  <c:v>8.6394859240187805E-3</c:v>
                </c:pt>
                <c:pt idx="75">
                  <c:v>9.4382170993158303E-3</c:v>
                </c:pt>
                <c:pt idx="76">
                  <c:v>1.0339958473588999E-2</c:v>
                </c:pt>
                <c:pt idx="77">
                  <c:v>1.1360657095177499E-2</c:v>
                </c:pt>
                <c:pt idx="78">
                  <c:v>1.2525692154040299E-2</c:v>
                </c:pt>
                <c:pt idx="79">
                  <c:v>1.39996400540746E-2</c:v>
                </c:pt>
                <c:pt idx="80">
                  <c:v>1.5810577326663001E-2</c:v>
                </c:pt>
                <c:pt idx="81">
                  <c:v>1.8015939000319701E-2</c:v>
                </c:pt>
                <c:pt idx="82">
                  <c:v>2.0713562815597299E-2</c:v>
                </c:pt>
                <c:pt idx="83">
                  <c:v>2.37798302239478E-2</c:v>
                </c:pt>
                <c:pt idx="84">
                  <c:v>2.7251640085505902E-2</c:v>
                </c:pt>
                <c:pt idx="85">
                  <c:v>3.13576751138561E-2</c:v>
                </c:pt>
                <c:pt idx="86">
                  <c:v>3.6280161900753997E-2</c:v>
                </c:pt>
                <c:pt idx="87">
                  <c:v>4.2142290979008797E-2</c:v>
                </c:pt>
                <c:pt idx="88">
                  <c:v>4.9121486027744202E-2</c:v>
                </c:pt>
                <c:pt idx="89">
                  <c:v>5.7378818799534402E-2</c:v>
                </c:pt>
                <c:pt idx="90">
                  <c:v>6.6996023920196199E-2</c:v>
                </c:pt>
                <c:pt idx="91">
                  <c:v>7.8333081870240906E-2</c:v>
                </c:pt>
                <c:pt idx="92">
                  <c:v>9.12744566151589E-2</c:v>
                </c:pt>
                <c:pt idx="93">
                  <c:v>0.10641674063695999</c:v>
                </c:pt>
                <c:pt idx="94">
                  <c:v>0.12422712566368201</c:v>
                </c:pt>
                <c:pt idx="95">
                  <c:v>0.145858223587889</c:v>
                </c:pt>
                <c:pt idx="96">
                  <c:v>0.17191331124710699</c:v>
                </c:pt>
                <c:pt idx="97">
                  <c:v>0.202688551606967</c:v>
                </c:pt>
                <c:pt idx="98">
                  <c:v>0.235659055640459</c:v>
                </c:pt>
                <c:pt idx="99">
                  <c:v>0.27095322962168</c:v>
                </c:pt>
                <c:pt idx="100">
                  <c:v>0.309692439035814</c:v>
                </c:pt>
                <c:pt idx="101">
                  <c:v>0.342308311515234</c:v>
                </c:pt>
                <c:pt idx="102">
                  <c:v>0.37531898271435499</c:v>
                </c:pt>
                <c:pt idx="103">
                  <c:v>0.40855260513677899</c:v>
                </c:pt>
                <c:pt idx="104">
                  <c:v>0.441870280793703</c:v>
                </c:pt>
                <c:pt idx="105">
                  <c:v>0.47516019352203198</c:v>
                </c:pt>
                <c:pt idx="106">
                  <c:v>0.50833221787649896</c:v>
                </c:pt>
                <c:pt idx="107">
                  <c:v>0.54131500495428397</c:v>
                </c:pt>
                <c:pt idx="108">
                  <c:v>0.57405428641198197</c:v>
                </c:pt>
                <c:pt idx="109">
                  <c:v>0.60650988500986502</c:v>
                </c:pt>
                <c:pt idx="110">
                  <c:v>0.63865444713379504</c:v>
                </c:pt>
                <c:pt idx="111">
                  <c:v>0.67047065722583798</c:v>
                </c:pt>
                <c:pt idx="112">
                  <c:v>0.70194995475907396</c:v>
                </c:pt>
                <c:pt idx="113">
                  <c:v>0.73521851333130595</c:v>
                </c:pt>
                <c:pt idx="114">
                  <c:v>0.76314370786519603</c:v>
                </c:pt>
                <c:pt idx="115">
                  <c:v>0.78949431017506999</c:v>
                </c:pt>
                <c:pt idx="116">
                  <c:v>0.81417028417384696</c:v>
                </c:pt>
                <c:pt idx="117">
                  <c:v>0.83709527364650904</c:v>
                </c:pt>
                <c:pt idx="118">
                  <c:v>0.85821803326820401</c:v>
                </c:pt>
                <c:pt idx="119">
                  <c:v>0.877513269363418</c:v>
                </c:pt>
                <c:pt idx="120">
                  <c:v>0.894981800828624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B6-42B9-AA60-175F3519AE34}"/>
            </c:ext>
          </c:extLst>
        </c:ser>
        <c:ser>
          <c:idx val="1"/>
          <c:order val="1"/>
          <c:tx>
            <c:strRef>
              <c:f>'AVOe 2005R AV Basistafel'!$C$3:$C$3</c:f>
              <c:strCache>
                <c:ptCount val="1"/>
                <c:pt idx="0">
                  <c:v>qx1965G</c:v>
                </c:pt>
              </c:strCache>
            </c:strRef>
          </c:tx>
          <c:spPr>
            <a:ln w="12600">
              <a:solidFill>
                <a:srgbClr val="9933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'AVOe 2005R AV Basistafel'!$A$4:$A$124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'AVOe 2005R AV Basistafel'!$C$4:$C$124</c:f>
              <c:numCache>
                <c:formatCode>0.000000</c:formatCode>
                <c:ptCount val="121"/>
                <c:pt idx="0">
                  <c:v>2.296E-4</c:v>
                </c:pt>
                <c:pt idx="1">
                  <c:v>2.296E-4</c:v>
                </c:pt>
                <c:pt idx="2">
                  <c:v>2.296E-4</c:v>
                </c:pt>
                <c:pt idx="3">
                  <c:v>2.296E-4</c:v>
                </c:pt>
                <c:pt idx="4">
                  <c:v>2.296E-4</c:v>
                </c:pt>
                <c:pt idx="5">
                  <c:v>2.296E-4</c:v>
                </c:pt>
                <c:pt idx="6">
                  <c:v>2.296E-4</c:v>
                </c:pt>
                <c:pt idx="7">
                  <c:v>2.296E-4</c:v>
                </c:pt>
                <c:pt idx="8">
                  <c:v>2.296E-4</c:v>
                </c:pt>
                <c:pt idx="9">
                  <c:v>2.296E-4</c:v>
                </c:pt>
                <c:pt idx="10">
                  <c:v>2.296E-4</c:v>
                </c:pt>
                <c:pt idx="11">
                  <c:v>2.296E-4</c:v>
                </c:pt>
                <c:pt idx="12">
                  <c:v>2.296E-4</c:v>
                </c:pt>
                <c:pt idx="13">
                  <c:v>2.8959999999999999E-4</c:v>
                </c:pt>
                <c:pt idx="14">
                  <c:v>2.8959999999999999E-4</c:v>
                </c:pt>
                <c:pt idx="15">
                  <c:v>5.2879999999999995E-4</c:v>
                </c:pt>
                <c:pt idx="16">
                  <c:v>7.26462211582119E-4</c:v>
                </c:pt>
                <c:pt idx="17">
                  <c:v>7.26462211582119E-4</c:v>
                </c:pt>
                <c:pt idx="18">
                  <c:v>7.26462211582119E-4</c:v>
                </c:pt>
                <c:pt idx="19">
                  <c:v>7.26462211582119E-4</c:v>
                </c:pt>
                <c:pt idx="20">
                  <c:v>7.26462211582119E-4</c:v>
                </c:pt>
                <c:pt idx="21">
                  <c:v>7.26462211582119E-4</c:v>
                </c:pt>
                <c:pt idx="22">
                  <c:v>7.26462211582119E-4</c:v>
                </c:pt>
                <c:pt idx="23">
                  <c:v>7.26462211582119E-4</c:v>
                </c:pt>
                <c:pt idx="24">
                  <c:v>7.26462211582119E-4</c:v>
                </c:pt>
                <c:pt idx="25">
                  <c:v>7.26462211582119E-4</c:v>
                </c:pt>
                <c:pt idx="26">
                  <c:v>7.26462211582119E-4</c:v>
                </c:pt>
                <c:pt idx="27">
                  <c:v>7.26462211582119E-4</c:v>
                </c:pt>
                <c:pt idx="28">
                  <c:v>7.26462211582119E-4</c:v>
                </c:pt>
                <c:pt idx="29">
                  <c:v>7.26462211582119E-4</c:v>
                </c:pt>
                <c:pt idx="30">
                  <c:v>7.26462211582119E-4</c:v>
                </c:pt>
                <c:pt idx="31">
                  <c:v>7.26462211582119E-4</c:v>
                </c:pt>
                <c:pt idx="32">
                  <c:v>7.26462211582119E-4</c:v>
                </c:pt>
                <c:pt idx="33">
                  <c:v>7.4087896442813397E-4</c:v>
                </c:pt>
                <c:pt idx="34">
                  <c:v>7.4087896442813397E-4</c:v>
                </c:pt>
                <c:pt idx="35">
                  <c:v>8.1801851595964805E-4</c:v>
                </c:pt>
                <c:pt idx="36">
                  <c:v>9.5783999999999995E-4</c:v>
                </c:pt>
                <c:pt idx="37">
                  <c:v>1.0222597022376801E-3</c:v>
                </c:pt>
                <c:pt idx="38">
                  <c:v>1.10874461992133E-3</c:v>
                </c:pt>
                <c:pt idx="39">
                  <c:v>1.20718451962765E-3</c:v>
                </c:pt>
                <c:pt idx="40">
                  <c:v>1.3097406908700901E-3</c:v>
                </c:pt>
                <c:pt idx="41">
                  <c:v>1.3923370536567E-3</c:v>
                </c:pt>
                <c:pt idx="42">
                  <c:v>1.4679036554502E-3</c:v>
                </c:pt>
                <c:pt idx="43">
                  <c:v>1.5415860447312499E-3</c:v>
                </c:pt>
                <c:pt idx="44">
                  <c:v>1.6216775480569E-3</c:v>
                </c:pt>
                <c:pt idx="45">
                  <c:v>1.7118297796739801E-3</c:v>
                </c:pt>
                <c:pt idx="46">
                  <c:v>1.8131857676004701E-3</c:v>
                </c:pt>
                <c:pt idx="47">
                  <c:v>1.9227869792870101E-3</c:v>
                </c:pt>
                <c:pt idx="48">
                  <c:v>2.0438121150229598E-3</c:v>
                </c:pt>
                <c:pt idx="49">
                  <c:v>2.1784740034721502E-3</c:v>
                </c:pt>
                <c:pt idx="50">
                  <c:v>2.3249395970314302E-3</c:v>
                </c:pt>
                <c:pt idx="51">
                  <c:v>2.4763264783081202E-3</c:v>
                </c:pt>
                <c:pt idx="52">
                  <c:v>2.6229544418024699E-3</c:v>
                </c:pt>
                <c:pt idx="53">
                  <c:v>2.7586533508861802E-3</c:v>
                </c:pt>
                <c:pt idx="54">
                  <c:v>2.8807311313111001E-3</c:v>
                </c:pt>
                <c:pt idx="55">
                  <c:v>2.9898380810171E-3</c:v>
                </c:pt>
                <c:pt idx="56">
                  <c:v>3.0901572449480901E-3</c:v>
                </c:pt>
                <c:pt idx="57">
                  <c:v>3.18521223761925E-3</c:v>
                </c:pt>
                <c:pt idx="58">
                  <c:v>3.2783464927987802E-3</c:v>
                </c:pt>
                <c:pt idx="59">
                  <c:v>3.3758767069956902E-3</c:v>
                </c:pt>
                <c:pt idx="60">
                  <c:v>3.4878842065012802E-3</c:v>
                </c:pt>
                <c:pt idx="61">
                  <c:v>3.6821694686580602E-3</c:v>
                </c:pt>
                <c:pt idx="62">
                  <c:v>3.9160180213855204E-3</c:v>
                </c:pt>
                <c:pt idx="63">
                  <c:v>4.1954047562442597E-3</c:v>
                </c:pt>
                <c:pt idx="64">
                  <c:v>4.5194257998952599E-3</c:v>
                </c:pt>
                <c:pt idx="65">
                  <c:v>4.8815915381006702E-3</c:v>
                </c:pt>
                <c:pt idx="66">
                  <c:v>5.2778483320981397E-3</c:v>
                </c:pt>
                <c:pt idx="67">
                  <c:v>5.7079655907622002E-3</c:v>
                </c:pt>
                <c:pt idx="68">
                  <c:v>6.1741740976287299E-3</c:v>
                </c:pt>
                <c:pt idx="69">
                  <c:v>6.6786496246494199E-3</c:v>
                </c:pt>
                <c:pt idx="70">
                  <c:v>7.2244301420125497E-3</c:v>
                </c:pt>
                <c:pt idx="71">
                  <c:v>7.8172317689517903E-3</c:v>
                </c:pt>
                <c:pt idx="72">
                  <c:v>8.46508369101894E-3</c:v>
                </c:pt>
                <c:pt idx="73">
                  <c:v>9.1797355704090894E-3</c:v>
                </c:pt>
                <c:pt idx="74">
                  <c:v>9.9694537146115605E-3</c:v>
                </c:pt>
                <c:pt idx="75">
                  <c:v>1.0839301958863399E-2</c:v>
                </c:pt>
                <c:pt idx="76">
                  <c:v>1.1816091226446701E-2</c:v>
                </c:pt>
                <c:pt idx="77">
                  <c:v>1.2915968908105299E-2</c:v>
                </c:pt>
                <c:pt idx="78">
                  <c:v>1.4165355577709199E-2</c:v>
                </c:pt>
                <c:pt idx="79">
                  <c:v>1.5746616459013599E-2</c:v>
                </c:pt>
                <c:pt idx="80">
                  <c:v>1.76853493416823E-2</c:v>
                </c:pt>
                <c:pt idx="81">
                  <c:v>2.0039064241468299E-2</c:v>
                </c:pt>
                <c:pt idx="82">
                  <c:v>2.2908512880374401E-2</c:v>
                </c:pt>
                <c:pt idx="83">
                  <c:v>2.6148502220101798E-2</c:v>
                </c:pt>
                <c:pt idx="84">
                  <c:v>2.9792585548024001E-2</c:v>
                </c:pt>
                <c:pt idx="85">
                  <c:v>3.4081999750613497E-2</c:v>
                </c:pt>
                <c:pt idx="86">
                  <c:v>3.9202206947674997E-2</c:v>
                </c:pt>
                <c:pt idx="87">
                  <c:v>4.5270966616168098E-2</c:v>
                </c:pt>
                <c:pt idx="88">
                  <c:v>5.24613017688653E-2</c:v>
                </c:pt>
                <c:pt idx="89">
                  <c:v>6.0925018464774397E-2</c:v>
                </c:pt>
                <c:pt idx="90">
                  <c:v>7.0726908307160205E-2</c:v>
                </c:pt>
                <c:pt idx="91">
                  <c:v>8.2222679218505595E-2</c:v>
                </c:pt>
                <c:pt idx="92">
                  <c:v>9.5264112319561195E-2</c:v>
                </c:pt>
                <c:pt idx="93">
                  <c:v>0.110445975339244</c:v>
                </c:pt>
                <c:pt idx="94">
                  <c:v>0.12821694394112401</c:v>
                </c:pt>
                <c:pt idx="95">
                  <c:v>0.14972031247371101</c:v>
                </c:pt>
                <c:pt idx="96">
                  <c:v>0.17551497947259501</c:v>
                </c:pt>
                <c:pt idx="97">
                  <c:v>0.205837646341412</c:v>
                </c:pt>
                <c:pt idx="98">
                  <c:v>0.23807201034391101</c:v>
                </c:pt>
                <c:pt idx="99">
                  <c:v>0.27232423085400198</c:v>
                </c:pt>
                <c:pt idx="100">
                  <c:v>0.309692439035814</c:v>
                </c:pt>
                <c:pt idx="101">
                  <c:v>0.342308311515234</c:v>
                </c:pt>
                <c:pt idx="102">
                  <c:v>0.37531898271435499</c:v>
                </c:pt>
                <c:pt idx="103">
                  <c:v>0.40855260513677899</c:v>
                </c:pt>
                <c:pt idx="104">
                  <c:v>0.441870280793703</c:v>
                </c:pt>
                <c:pt idx="105">
                  <c:v>0.47516019352203198</c:v>
                </c:pt>
                <c:pt idx="106">
                  <c:v>0.50833221787649896</c:v>
                </c:pt>
                <c:pt idx="107">
                  <c:v>0.54131500495428397</c:v>
                </c:pt>
                <c:pt idx="108">
                  <c:v>0.57405428641198197</c:v>
                </c:pt>
                <c:pt idx="109">
                  <c:v>0.60650988500986502</c:v>
                </c:pt>
                <c:pt idx="110">
                  <c:v>0.63865444713379504</c:v>
                </c:pt>
                <c:pt idx="111">
                  <c:v>0.67047065722583798</c:v>
                </c:pt>
                <c:pt idx="112">
                  <c:v>0.70194995475907396</c:v>
                </c:pt>
                <c:pt idx="113">
                  <c:v>0.73521851333130595</c:v>
                </c:pt>
                <c:pt idx="114">
                  <c:v>0.76314370786519603</c:v>
                </c:pt>
                <c:pt idx="115">
                  <c:v>0.78949431017506999</c:v>
                </c:pt>
                <c:pt idx="116">
                  <c:v>0.81417028417384696</c:v>
                </c:pt>
                <c:pt idx="117">
                  <c:v>0.83709527364650904</c:v>
                </c:pt>
                <c:pt idx="118">
                  <c:v>0.85821803326820401</c:v>
                </c:pt>
                <c:pt idx="119">
                  <c:v>0.877513269363418</c:v>
                </c:pt>
                <c:pt idx="120">
                  <c:v>0.894981800828624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B6-42B9-AA60-175F3519AE34}"/>
            </c:ext>
          </c:extLst>
        </c:ser>
        <c:ser>
          <c:idx val="2"/>
          <c:order val="2"/>
          <c:tx>
            <c:strRef>
              <c:f>'AVOe 2005R AV Basistafel'!$D$3:$D$3</c:f>
              <c:strCache>
                <c:ptCount val="1"/>
                <c:pt idx="0">
                  <c:v>qy1965</c:v>
                </c:pt>
              </c:strCache>
            </c:strRef>
          </c:tx>
          <c:spPr>
            <a:ln w="12600">
              <a:solidFill>
                <a:srgbClr val="FFFFC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'AVOe 2005R AV Basistafel'!$A$4:$A$124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'AVOe 2005R AV Basistafel'!$D$4:$D$124</c:f>
              <c:numCache>
                <c:formatCode>0.000000</c:formatCode>
                <c:ptCount val="121"/>
                <c:pt idx="0">
                  <c:v>1.496E-4</c:v>
                </c:pt>
                <c:pt idx="1">
                  <c:v>1.496E-4</c:v>
                </c:pt>
                <c:pt idx="2">
                  <c:v>1.496E-4</c:v>
                </c:pt>
                <c:pt idx="3">
                  <c:v>1.496E-4</c:v>
                </c:pt>
                <c:pt idx="4">
                  <c:v>1.496E-4</c:v>
                </c:pt>
                <c:pt idx="5">
                  <c:v>1.496E-4</c:v>
                </c:pt>
                <c:pt idx="6">
                  <c:v>1.496E-4</c:v>
                </c:pt>
                <c:pt idx="7">
                  <c:v>1.496E-4</c:v>
                </c:pt>
                <c:pt idx="8">
                  <c:v>1.496E-4</c:v>
                </c:pt>
                <c:pt idx="9">
                  <c:v>1.496E-4</c:v>
                </c:pt>
                <c:pt idx="10">
                  <c:v>1.496E-4</c:v>
                </c:pt>
                <c:pt idx="11">
                  <c:v>1.496E-4</c:v>
                </c:pt>
                <c:pt idx="12">
                  <c:v>1.496E-4</c:v>
                </c:pt>
                <c:pt idx="13">
                  <c:v>1.496E-4</c:v>
                </c:pt>
                <c:pt idx="14">
                  <c:v>1.496E-4</c:v>
                </c:pt>
                <c:pt idx="15">
                  <c:v>2.2722006711961199E-4</c:v>
                </c:pt>
                <c:pt idx="16">
                  <c:v>2.2722006711961199E-4</c:v>
                </c:pt>
                <c:pt idx="17">
                  <c:v>2.2722006711961199E-4</c:v>
                </c:pt>
                <c:pt idx="18">
                  <c:v>2.2722006711961199E-4</c:v>
                </c:pt>
                <c:pt idx="19">
                  <c:v>2.2722006711961199E-4</c:v>
                </c:pt>
                <c:pt idx="20">
                  <c:v>2.2722006711961199E-4</c:v>
                </c:pt>
                <c:pt idx="21">
                  <c:v>2.2722006711961199E-4</c:v>
                </c:pt>
                <c:pt idx="22">
                  <c:v>2.2722006711961199E-4</c:v>
                </c:pt>
                <c:pt idx="23">
                  <c:v>2.2722006711961199E-4</c:v>
                </c:pt>
                <c:pt idx="24">
                  <c:v>2.2722006711961199E-4</c:v>
                </c:pt>
                <c:pt idx="25">
                  <c:v>2.2722006711961199E-4</c:v>
                </c:pt>
                <c:pt idx="26">
                  <c:v>2.78059377262853E-4</c:v>
                </c:pt>
                <c:pt idx="27">
                  <c:v>2.78059377262853E-4</c:v>
                </c:pt>
                <c:pt idx="28">
                  <c:v>2.9795158286778401E-4</c:v>
                </c:pt>
                <c:pt idx="29">
                  <c:v>2.9795158286778401E-4</c:v>
                </c:pt>
                <c:pt idx="30">
                  <c:v>2.9795158286778401E-4</c:v>
                </c:pt>
                <c:pt idx="31">
                  <c:v>2.9795158286778401E-4</c:v>
                </c:pt>
                <c:pt idx="32">
                  <c:v>2.9795158286778401E-4</c:v>
                </c:pt>
                <c:pt idx="33">
                  <c:v>2.9795158286778401E-4</c:v>
                </c:pt>
                <c:pt idx="34">
                  <c:v>3.7744751120547302E-4</c:v>
                </c:pt>
                <c:pt idx="35">
                  <c:v>3.7744751120547302E-4</c:v>
                </c:pt>
                <c:pt idx="36">
                  <c:v>4.6799999999999999E-4</c:v>
                </c:pt>
                <c:pt idx="37">
                  <c:v>5.0720636754331898E-4</c:v>
                </c:pt>
                <c:pt idx="38">
                  <c:v>5.5853071743678002E-4</c:v>
                </c:pt>
                <c:pt idx="39">
                  <c:v>6.1533364715300905E-4</c:v>
                </c:pt>
                <c:pt idx="40">
                  <c:v>6.7482140635866702E-4</c:v>
                </c:pt>
                <c:pt idx="41">
                  <c:v>7.2180158255466997E-4</c:v>
                </c:pt>
                <c:pt idx="42">
                  <c:v>7.6486609460561501E-4</c:v>
                </c:pt>
                <c:pt idx="43">
                  <c:v>8.0597566467915395E-4</c:v>
                </c:pt>
                <c:pt idx="44">
                  <c:v>8.4481259829665496E-4</c:v>
                </c:pt>
                <c:pt idx="45">
                  <c:v>8.85929578640313E-4</c:v>
                </c:pt>
                <c:pt idx="46">
                  <c:v>9.3583077533154302E-4</c:v>
                </c:pt>
                <c:pt idx="47">
                  <c:v>9.9226265473848396E-4</c:v>
                </c:pt>
                <c:pt idx="48">
                  <c:v>1.0479607157725299E-3</c:v>
                </c:pt>
                <c:pt idx="49">
                  <c:v>1.10090796257434E-3</c:v>
                </c:pt>
                <c:pt idx="50">
                  <c:v>1.1545130141355599E-3</c:v>
                </c:pt>
                <c:pt idx="51">
                  <c:v>1.2060707772386301E-3</c:v>
                </c:pt>
                <c:pt idx="52">
                  <c:v>1.2522586712646899E-3</c:v>
                </c:pt>
                <c:pt idx="53">
                  <c:v>1.29011632630454E-3</c:v>
                </c:pt>
                <c:pt idx="54">
                  <c:v>1.3205480612334E-3</c:v>
                </c:pt>
                <c:pt idx="55">
                  <c:v>1.34611715235239E-3</c:v>
                </c:pt>
                <c:pt idx="56">
                  <c:v>1.36833874125261E-3</c:v>
                </c:pt>
                <c:pt idx="57">
                  <c:v>1.3859239244694501E-3</c:v>
                </c:pt>
                <c:pt idx="58">
                  <c:v>1.4007795255518E-3</c:v>
                </c:pt>
                <c:pt idx="59">
                  <c:v>1.41841498831969E-3</c:v>
                </c:pt>
                <c:pt idx="60">
                  <c:v>1.4446665780410799E-3</c:v>
                </c:pt>
                <c:pt idx="61">
                  <c:v>1.51628684651816E-3</c:v>
                </c:pt>
                <c:pt idx="62">
                  <c:v>1.60509439937958E-3</c:v>
                </c:pt>
                <c:pt idx="63">
                  <c:v>1.71258033429376E-3</c:v>
                </c:pt>
                <c:pt idx="64">
                  <c:v>1.8386175254900799E-3</c:v>
                </c:pt>
                <c:pt idx="65">
                  <c:v>1.9822554772329702E-3</c:v>
                </c:pt>
                <c:pt idx="66">
                  <c:v>2.1544231567195101E-3</c:v>
                </c:pt>
                <c:pt idx="67">
                  <c:v>2.3515858331349501E-3</c:v>
                </c:pt>
                <c:pt idx="68">
                  <c:v>2.5697816211085502E-3</c:v>
                </c:pt>
                <c:pt idx="69">
                  <c:v>2.79995499483547E-3</c:v>
                </c:pt>
                <c:pt idx="70">
                  <c:v>3.0559264537566E-3</c:v>
                </c:pt>
                <c:pt idx="71">
                  <c:v>3.3393865284911499E-3</c:v>
                </c:pt>
                <c:pt idx="72">
                  <c:v>3.6703042059627799E-3</c:v>
                </c:pt>
                <c:pt idx="73">
                  <c:v>4.0548707432785502E-3</c:v>
                </c:pt>
                <c:pt idx="74">
                  <c:v>4.5147987986845998E-3</c:v>
                </c:pt>
                <c:pt idx="75">
                  <c:v>5.0584511506028603E-3</c:v>
                </c:pt>
                <c:pt idx="76">
                  <c:v>5.6808022245294198E-3</c:v>
                </c:pt>
                <c:pt idx="77">
                  <c:v>6.3909273487583297E-3</c:v>
                </c:pt>
                <c:pt idx="78">
                  <c:v>7.19944094162203E-3</c:v>
                </c:pt>
                <c:pt idx="79">
                  <c:v>8.1409916916276703E-3</c:v>
                </c:pt>
                <c:pt idx="80">
                  <c:v>9.2667546353225206E-3</c:v>
                </c:pt>
                <c:pt idx="81">
                  <c:v>1.0626834303197099E-2</c:v>
                </c:pt>
                <c:pt idx="82">
                  <c:v>1.2236767069667399E-2</c:v>
                </c:pt>
                <c:pt idx="83">
                  <c:v>1.41988694965811E-2</c:v>
                </c:pt>
                <c:pt idx="84">
                  <c:v>1.66329288627125E-2</c:v>
                </c:pt>
                <c:pt idx="85">
                  <c:v>1.9620452058908701E-2</c:v>
                </c:pt>
                <c:pt idx="86">
                  <c:v>2.33372450846175E-2</c:v>
                </c:pt>
                <c:pt idx="87">
                  <c:v>2.7829739832867899E-2</c:v>
                </c:pt>
                <c:pt idx="88">
                  <c:v>3.3307701086597398E-2</c:v>
                </c:pt>
                <c:pt idx="89">
                  <c:v>4.0084071890876601E-2</c:v>
                </c:pt>
                <c:pt idx="90">
                  <c:v>4.8305270284768401E-2</c:v>
                </c:pt>
                <c:pt idx="91">
                  <c:v>5.8166943963750599E-2</c:v>
                </c:pt>
                <c:pt idx="92">
                  <c:v>6.9909977352470606E-2</c:v>
                </c:pt>
                <c:pt idx="93">
                  <c:v>8.3611779203049297E-2</c:v>
                </c:pt>
                <c:pt idx="94">
                  <c:v>9.9219590713270495E-2</c:v>
                </c:pt>
                <c:pt idx="95">
                  <c:v>0.11655954757205</c:v>
                </c:pt>
                <c:pt idx="96">
                  <c:v>0.13668211008939099</c:v>
                </c:pt>
                <c:pt idx="97">
                  <c:v>0.16008837213378399</c:v>
                </c:pt>
                <c:pt idx="98">
                  <c:v>0.186744530085899</c:v>
                </c:pt>
                <c:pt idx="99">
                  <c:v>0.216829359926513</c:v>
                </c:pt>
                <c:pt idx="100">
                  <c:v>0.25025672621789202</c:v>
                </c:pt>
                <c:pt idx="101">
                  <c:v>0.27990127549419402</c:v>
                </c:pt>
                <c:pt idx="102">
                  <c:v>0.310493137305417</c:v>
                </c:pt>
                <c:pt idx="103">
                  <c:v>0.341867025680887</c:v>
                </c:pt>
                <c:pt idx="104">
                  <c:v>0.37388206334996499</c:v>
                </c:pt>
                <c:pt idx="105">
                  <c:v>0.40641251373158599</c:v>
                </c:pt>
                <c:pt idx="106">
                  <c:v>0.43933946863164097</c:v>
                </c:pt>
                <c:pt idx="107">
                  <c:v>0.47255608938671501</c:v>
                </c:pt>
                <c:pt idx="108">
                  <c:v>0.50596789888998295</c:v>
                </c:pt>
                <c:pt idx="109">
                  <c:v>0.539491774149643</c:v>
                </c:pt>
                <c:pt idx="110">
                  <c:v>0.57305565226539701</c:v>
                </c:pt>
                <c:pt idx="111">
                  <c:v>0.60659774718283999</c:v>
                </c:pt>
                <c:pt idx="112">
                  <c:v>0.64006589109666401</c:v>
                </c:pt>
                <c:pt idx="113">
                  <c:v>0.67869447649981496</c:v>
                </c:pt>
                <c:pt idx="114">
                  <c:v>0.71011524818806004</c:v>
                </c:pt>
                <c:pt idx="115">
                  <c:v>0.74006031188655197</c:v>
                </c:pt>
                <c:pt idx="116">
                  <c:v>0.76835351621793202</c:v>
                </c:pt>
                <c:pt idx="117">
                  <c:v>0.79484903018840303</c:v>
                </c:pt>
                <c:pt idx="118">
                  <c:v>0.81943471085973096</c:v>
                </c:pt>
                <c:pt idx="119">
                  <c:v>0.842034474700047</c:v>
                </c:pt>
                <c:pt idx="120">
                  <c:v>0.862609501888704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B6-42B9-AA60-175F3519AE34}"/>
            </c:ext>
          </c:extLst>
        </c:ser>
        <c:ser>
          <c:idx val="3"/>
          <c:order val="3"/>
          <c:tx>
            <c:strRef>
              <c:f>'AVOe 2005R AV Basistafel'!$E$3:$E$3</c:f>
              <c:strCache>
                <c:ptCount val="1"/>
                <c:pt idx="0">
                  <c:v>qy1965G</c:v>
                </c:pt>
              </c:strCache>
            </c:strRef>
          </c:tx>
          <c:spPr>
            <a:ln w="12600">
              <a:solidFill>
                <a:srgbClr val="CCFFF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'AVOe 2005R AV Basistafel'!$A$4:$A$124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'AVOe 2005R AV Basistafel'!$E$4:$E$124</c:f>
              <c:numCache>
                <c:formatCode>0.000000</c:formatCode>
                <c:ptCount val="121"/>
                <c:pt idx="0">
                  <c:v>1.496E-4</c:v>
                </c:pt>
                <c:pt idx="1">
                  <c:v>1.496E-4</c:v>
                </c:pt>
                <c:pt idx="2">
                  <c:v>1.496E-4</c:v>
                </c:pt>
                <c:pt idx="3">
                  <c:v>1.496E-4</c:v>
                </c:pt>
                <c:pt idx="4">
                  <c:v>1.496E-4</c:v>
                </c:pt>
                <c:pt idx="5">
                  <c:v>1.496E-4</c:v>
                </c:pt>
                <c:pt idx="6">
                  <c:v>1.496E-4</c:v>
                </c:pt>
                <c:pt idx="7">
                  <c:v>1.496E-4</c:v>
                </c:pt>
                <c:pt idx="8">
                  <c:v>1.496E-4</c:v>
                </c:pt>
                <c:pt idx="9">
                  <c:v>1.496E-4</c:v>
                </c:pt>
                <c:pt idx="10">
                  <c:v>1.496E-4</c:v>
                </c:pt>
                <c:pt idx="11">
                  <c:v>1.496E-4</c:v>
                </c:pt>
                <c:pt idx="12">
                  <c:v>1.496E-4</c:v>
                </c:pt>
                <c:pt idx="13">
                  <c:v>1.496E-4</c:v>
                </c:pt>
                <c:pt idx="14">
                  <c:v>1.496E-4</c:v>
                </c:pt>
                <c:pt idx="15">
                  <c:v>2.2722006711961199E-4</c:v>
                </c:pt>
                <c:pt idx="16">
                  <c:v>2.2722006711961199E-4</c:v>
                </c:pt>
                <c:pt idx="17">
                  <c:v>2.2722006711961199E-4</c:v>
                </c:pt>
                <c:pt idx="18">
                  <c:v>2.2722006711961199E-4</c:v>
                </c:pt>
                <c:pt idx="19">
                  <c:v>2.2722006711961199E-4</c:v>
                </c:pt>
                <c:pt idx="20">
                  <c:v>2.2722006711961199E-4</c:v>
                </c:pt>
                <c:pt idx="21">
                  <c:v>2.2722006711961199E-4</c:v>
                </c:pt>
                <c:pt idx="22">
                  <c:v>2.2722006711961199E-4</c:v>
                </c:pt>
                <c:pt idx="23">
                  <c:v>2.2722006711961199E-4</c:v>
                </c:pt>
                <c:pt idx="24">
                  <c:v>2.2722006711961199E-4</c:v>
                </c:pt>
                <c:pt idx="25">
                  <c:v>2.2722006711961199E-4</c:v>
                </c:pt>
                <c:pt idx="26">
                  <c:v>2.78059377262853E-4</c:v>
                </c:pt>
                <c:pt idx="27">
                  <c:v>2.78059377262853E-4</c:v>
                </c:pt>
                <c:pt idx="28">
                  <c:v>2.9795158286778401E-4</c:v>
                </c:pt>
                <c:pt idx="29">
                  <c:v>2.9795158286778401E-4</c:v>
                </c:pt>
                <c:pt idx="30">
                  <c:v>2.9795158286778401E-4</c:v>
                </c:pt>
                <c:pt idx="31">
                  <c:v>2.9795158286778401E-4</c:v>
                </c:pt>
                <c:pt idx="32">
                  <c:v>2.9795158286778401E-4</c:v>
                </c:pt>
                <c:pt idx="33">
                  <c:v>2.9795158286778401E-4</c:v>
                </c:pt>
                <c:pt idx="34">
                  <c:v>3.7744751120547302E-4</c:v>
                </c:pt>
                <c:pt idx="35">
                  <c:v>3.7744751120547302E-4</c:v>
                </c:pt>
                <c:pt idx="36">
                  <c:v>4.6799999999999999E-4</c:v>
                </c:pt>
                <c:pt idx="37">
                  <c:v>5.0720636754331898E-4</c:v>
                </c:pt>
                <c:pt idx="38">
                  <c:v>5.5853071743678002E-4</c:v>
                </c:pt>
                <c:pt idx="39">
                  <c:v>6.1533364715300905E-4</c:v>
                </c:pt>
                <c:pt idx="40">
                  <c:v>6.7482140635866702E-4</c:v>
                </c:pt>
                <c:pt idx="41">
                  <c:v>7.2558244798709903E-4</c:v>
                </c:pt>
                <c:pt idx="42">
                  <c:v>7.7300821754819099E-4</c:v>
                </c:pt>
                <c:pt idx="43">
                  <c:v>8.1905625333542195E-4</c:v>
                </c:pt>
                <c:pt idx="44">
                  <c:v>8.6339847545918204E-4</c:v>
                </c:pt>
                <c:pt idx="45">
                  <c:v>9.1070557533110203E-4</c:v>
                </c:pt>
                <c:pt idx="46">
                  <c:v>9.6777810179975805E-4</c:v>
                </c:pt>
                <c:pt idx="47">
                  <c:v>1.03247540443052E-3</c:v>
                </c:pt>
                <c:pt idx="48">
                  <c:v>1.0973645780875201E-3</c:v>
                </c:pt>
                <c:pt idx="49">
                  <c:v>1.16035699255336E-3</c:v>
                </c:pt>
                <c:pt idx="50">
                  <c:v>1.22506658722163E-3</c:v>
                </c:pt>
                <c:pt idx="51">
                  <c:v>1.2886752474532801E-3</c:v>
                </c:pt>
                <c:pt idx="52">
                  <c:v>1.3476229854610001E-3</c:v>
                </c:pt>
                <c:pt idx="53">
                  <c:v>1.39863787610545E-3</c:v>
                </c:pt>
                <c:pt idx="54">
                  <c:v>1.44256670209137E-3</c:v>
                </c:pt>
                <c:pt idx="55">
                  <c:v>1.4821024565185999E-3</c:v>
                </c:pt>
                <c:pt idx="56">
                  <c:v>1.5188560027903899E-3</c:v>
                </c:pt>
                <c:pt idx="57">
                  <c:v>1.5513501631135699E-3</c:v>
                </c:pt>
                <c:pt idx="58">
                  <c:v>1.58166279472088E-3</c:v>
                </c:pt>
                <c:pt idx="59">
                  <c:v>1.61604747669223E-3</c:v>
                </c:pt>
                <c:pt idx="60">
                  <c:v>1.6613665647472399E-3</c:v>
                </c:pt>
                <c:pt idx="61">
                  <c:v>1.74347154760915E-3</c:v>
                </c:pt>
                <c:pt idx="62">
                  <c:v>1.84476641068182E-3</c:v>
                </c:pt>
                <c:pt idx="63">
                  <c:v>1.96685216646226E-3</c:v>
                </c:pt>
                <c:pt idx="64">
                  <c:v>2.10943643693175E-3</c:v>
                </c:pt>
                <c:pt idx="65">
                  <c:v>2.2712533129389499E-3</c:v>
                </c:pt>
                <c:pt idx="66">
                  <c:v>2.46460528114655E-3</c:v>
                </c:pt>
                <c:pt idx="67">
                  <c:v>2.6851627349068802E-3</c:v>
                </c:pt>
                <c:pt idx="68">
                  <c:v>2.9281032837701602E-3</c:v>
                </c:pt>
                <c:pt idx="69">
                  <c:v>3.1828273392790199E-3</c:v>
                </c:pt>
                <c:pt idx="70">
                  <c:v>3.46475985770512E-3</c:v>
                </c:pt>
                <c:pt idx="71">
                  <c:v>3.77543296836505E-3</c:v>
                </c:pt>
                <c:pt idx="72">
                  <c:v>4.1369394104719404E-3</c:v>
                </c:pt>
                <c:pt idx="73">
                  <c:v>4.5555850393662004E-3</c:v>
                </c:pt>
                <c:pt idx="74">
                  <c:v>5.0549239224727E-3</c:v>
                </c:pt>
                <c:pt idx="75">
                  <c:v>5.6432338791598197E-3</c:v>
                </c:pt>
                <c:pt idx="76">
                  <c:v>6.3137276170694302E-3</c:v>
                </c:pt>
                <c:pt idx="77">
                  <c:v>7.0752763658597896E-3</c:v>
                </c:pt>
                <c:pt idx="78">
                  <c:v>7.9382644432057208E-3</c:v>
                </c:pt>
                <c:pt idx="79">
                  <c:v>8.9392571415187402E-3</c:v>
                </c:pt>
                <c:pt idx="80">
                  <c:v>1.0132234549376199E-2</c:v>
                </c:pt>
                <c:pt idx="81">
                  <c:v>1.1569030352143199E-2</c:v>
                </c:pt>
                <c:pt idx="82">
                  <c:v>1.32630370132858E-2</c:v>
                </c:pt>
                <c:pt idx="83">
                  <c:v>1.53209808614969E-2</c:v>
                </c:pt>
                <c:pt idx="84">
                  <c:v>1.7866382014329399E-2</c:v>
                </c:pt>
                <c:pt idx="85">
                  <c:v>2.09795221234843E-2</c:v>
                </c:pt>
                <c:pt idx="86">
                  <c:v>2.4839523578791101E-2</c:v>
                </c:pt>
                <c:pt idx="87">
                  <c:v>2.9485114635268699E-2</c:v>
                </c:pt>
                <c:pt idx="88">
                  <c:v>3.5126547969424902E-2</c:v>
                </c:pt>
                <c:pt idx="89">
                  <c:v>4.2078560644205697E-2</c:v>
                </c:pt>
                <c:pt idx="90">
                  <c:v>5.0476188073831002E-2</c:v>
                </c:pt>
                <c:pt idx="91">
                  <c:v>6.0503349821809202E-2</c:v>
                </c:pt>
                <c:pt idx="92">
                  <c:v>7.2387693733578395E-2</c:v>
                </c:pt>
                <c:pt idx="93">
                  <c:v>8.6184578430633998E-2</c:v>
                </c:pt>
                <c:pt idx="94">
                  <c:v>0.101815229627588</c:v>
                </c:pt>
                <c:pt idx="95">
                  <c:v>0.119079066176773</c:v>
                </c:pt>
                <c:pt idx="96">
                  <c:v>0.13902491170300599</c:v>
                </c:pt>
                <c:pt idx="97">
                  <c:v>0.162127665039729</c:v>
                </c:pt>
                <c:pt idx="98">
                  <c:v>0.18831558649994401</c:v>
                </c:pt>
                <c:pt idx="99">
                  <c:v>0.217732671220144</c:v>
                </c:pt>
                <c:pt idx="100">
                  <c:v>0.25025672621789202</c:v>
                </c:pt>
                <c:pt idx="101">
                  <c:v>0.27990127549419402</c:v>
                </c:pt>
                <c:pt idx="102">
                  <c:v>0.310493137305417</c:v>
                </c:pt>
                <c:pt idx="103">
                  <c:v>0.341867025680887</c:v>
                </c:pt>
                <c:pt idx="104">
                  <c:v>0.37388206334996499</c:v>
                </c:pt>
                <c:pt idx="105">
                  <c:v>0.40641251373158599</c:v>
                </c:pt>
                <c:pt idx="106">
                  <c:v>0.43933946863164097</c:v>
                </c:pt>
                <c:pt idx="107">
                  <c:v>0.47255608938671501</c:v>
                </c:pt>
                <c:pt idx="108">
                  <c:v>0.50596789888998295</c:v>
                </c:pt>
                <c:pt idx="109">
                  <c:v>0.539491774149643</c:v>
                </c:pt>
                <c:pt idx="110">
                  <c:v>0.57305565226539701</c:v>
                </c:pt>
                <c:pt idx="111">
                  <c:v>0.60659774718283999</c:v>
                </c:pt>
                <c:pt idx="112">
                  <c:v>0.64006589109666401</c:v>
                </c:pt>
                <c:pt idx="113">
                  <c:v>0.67869447649981496</c:v>
                </c:pt>
                <c:pt idx="114">
                  <c:v>0.71011524818806004</c:v>
                </c:pt>
                <c:pt idx="115">
                  <c:v>0.74006031188655197</c:v>
                </c:pt>
                <c:pt idx="116">
                  <c:v>0.76835351621793202</c:v>
                </c:pt>
                <c:pt idx="117">
                  <c:v>0.79484903018840303</c:v>
                </c:pt>
                <c:pt idx="118">
                  <c:v>0.81943471085973096</c:v>
                </c:pt>
                <c:pt idx="119">
                  <c:v>0.842034474700047</c:v>
                </c:pt>
                <c:pt idx="120">
                  <c:v>0.862609501888704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B6-42B9-AA60-175F3519A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93343636"/>
        <c:axId val="53923829"/>
      </c:lineChart>
      <c:catAx>
        <c:axId val="933436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1260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135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endParaRPr lang="de-DE"/>
          </a:p>
        </c:txPr>
        <c:crossAx val="53923829"/>
        <c:crosses val="autoZero"/>
        <c:auto val="1"/>
        <c:lblAlgn val="ctr"/>
        <c:lblOffset val="100"/>
        <c:noMultiLvlLbl val="1"/>
      </c:catAx>
      <c:valAx>
        <c:axId val="53923829"/>
        <c:scaling>
          <c:logBase val="10"/>
          <c:orientation val="minMax"/>
        </c:scaling>
        <c:delete val="0"/>
        <c:axPos val="l"/>
        <c:majorGridlines>
          <c:spPr>
            <a:ln w="12600">
              <a:solidFill>
                <a:srgbClr val="000000"/>
              </a:solidFill>
              <a:round/>
            </a:ln>
          </c:spPr>
        </c:majorGridlines>
        <c:numFmt formatCode="0.000000" sourceLinked="0"/>
        <c:majorTickMark val="out"/>
        <c:minorTickMark val="none"/>
        <c:tickLblPos val="low"/>
        <c:spPr>
          <a:ln w="12600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135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endParaRPr lang="de-DE"/>
          </a:p>
        </c:txPr>
        <c:crossAx val="93343636"/>
        <c:crossesAt val="0"/>
        <c:crossBetween val="between"/>
      </c:valAx>
      <c:spPr>
        <a:solidFill>
          <a:srgbClr val="D9D9D9"/>
        </a:solidFill>
        <a:ln w="37800">
          <a:noFill/>
        </a:ln>
      </c:spPr>
    </c:plotArea>
    <c:legend>
      <c:legendPos val="r"/>
      <c:layout>
        <c:manualLayout>
          <c:xMode val="edge"/>
          <c:yMode val="edge"/>
          <c:x val="0.89848543964813998"/>
          <c:y val="0.456585365853659"/>
        </c:manualLayout>
      </c:layout>
      <c:overlay val="0"/>
      <c:spPr>
        <a:solidFill>
          <a:srgbClr val="D9D9D9"/>
        </a:solidFill>
        <a:ln w="12600">
          <a:solidFill>
            <a:srgbClr val="000000"/>
          </a:solidFill>
          <a:round/>
        </a:ln>
      </c:spPr>
    </c:legend>
    <c:plotVisOnly val="1"/>
    <c:dispBlanksAs val="gap"/>
    <c:showDLblsOverMax val="1"/>
  </c:chart>
  <c:spPr>
    <a:solidFill>
      <a:srgbClr val="FFFFFF"/>
    </a:solidFill>
    <a:ln w="12600">
      <a:noFill/>
    </a:ln>
  </c:spPr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6120</xdr:colOff>
      <xdr:row>1</xdr:row>
      <xdr:rowOff>144360</xdr:rowOff>
    </xdr:from>
    <xdr:to>
      <xdr:col>15</xdr:col>
      <xdr:colOff>68040</xdr:colOff>
      <xdr:row>30</xdr:row>
      <xdr:rowOff>24480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264600</xdr:colOff>
      <xdr:row>3</xdr:row>
      <xdr:rowOff>130320</xdr:rowOff>
    </xdr:from>
    <xdr:to>
      <xdr:col>32</xdr:col>
      <xdr:colOff>499680</xdr:colOff>
      <xdr:row>26</xdr:row>
      <xdr:rowOff>70200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3"/>
  <sheetViews>
    <sheetView topLeftCell="A13" zoomScaleNormal="100" workbookViewId="0">
      <selection activeCell="B69" sqref="B69"/>
    </sheetView>
  </sheetViews>
  <sheetFormatPr baseColWidth="10" defaultColWidth="9.140625" defaultRowHeight="12.75"/>
  <cols>
    <col min="1" max="1" width="11.28515625" style="13"/>
    <col min="2" max="2" width="15.85546875" style="13"/>
    <col min="3" max="1025" width="11.28515625"/>
  </cols>
  <sheetData>
    <row r="1" spans="1:5" ht="108" customHeight="1">
      <c r="A1" s="12" t="s">
        <v>0</v>
      </c>
      <c r="B1" s="12"/>
    </row>
    <row r="2" spans="1:5">
      <c r="A2"/>
      <c r="B2"/>
    </row>
    <row r="3" spans="1:5">
      <c r="A3" s="14" t="s">
        <v>1</v>
      </c>
      <c r="B3" s="14" t="s">
        <v>2</v>
      </c>
    </row>
    <row r="4" spans="1:5">
      <c r="A4" s="14">
        <v>0</v>
      </c>
      <c r="B4" s="15">
        <v>0</v>
      </c>
    </row>
    <row r="5" spans="1:5">
      <c r="A5" s="14">
        <v>1</v>
      </c>
      <c r="B5" s="15">
        <v>0</v>
      </c>
    </row>
    <row r="6" spans="1:5">
      <c r="A6" s="14">
        <v>2</v>
      </c>
      <c r="B6" s="15">
        <v>0</v>
      </c>
    </row>
    <row r="7" spans="1:5">
      <c r="A7" s="14">
        <v>3</v>
      </c>
      <c r="B7" s="15">
        <v>0</v>
      </c>
    </row>
    <row r="8" spans="1:5">
      <c r="A8" s="14">
        <v>4</v>
      </c>
      <c r="B8" s="15">
        <v>0</v>
      </c>
    </row>
    <row r="9" spans="1:5">
      <c r="A9" s="14">
        <v>5</v>
      </c>
      <c r="B9" s="15">
        <v>0</v>
      </c>
    </row>
    <row r="10" spans="1:5">
      <c r="A10" s="14">
        <v>6</v>
      </c>
      <c r="B10" s="15">
        <v>0</v>
      </c>
      <c r="E10" t="s">
        <v>3</v>
      </c>
    </row>
    <row r="11" spans="1:5">
      <c r="A11" s="14">
        <v>7</v>
      </c>
      <c r="B11" s="15">
        <v>0</v>
      </c>
    </row>
    <row r="12" spans="1:5">
      <c r="A12" s="14">
        <v>8</v>
      </c>
      <c r="B12" s="15">
        <v>0</v>
      </c>
    </row>
    <row r="13" spans="1:5">
      <c r="A13" s="14">
        <v>9</v>
      </c>
      <c r="B13" s="15">
        <v>0</v>
      </c>
    </row>
    <row r="14" spans="1:5">
      <c r="A14" s="14">
        <v>10</v>
      </c>
      <c r="B14" s="15">
        <v>0</v>
      </c>
    </row>
    <row r="15" spans="1:5">
      <c r="A15" s="14">
        <v>11</v>
      </c>
      <c r="B15" s="15">
        <v>1.8000000000000001E-4</v>
      </c>
    </row>
    <row r="16" spans="1:5">
      <c r="A16" s="14">
        <v>12</v>
      </c>
      <c r="B16" s="15">
        <v>1.8000000000000001E-4</v>
      </c>
    </row>
    <row r="17" spans="1:2">
      <c r="A17" s="14">
        <v>13</v>
      </c>
      <c r="B17" s="15">
        <v>1.8000000000000001E-4</v>
      </c>
    </row>
    <row r="18" spans="1:2">
      <c r="A18" s="14">
        <v>14</v>
      </c>
      <c r="B18" s="15">
        <v>1.8000000000000001E-4</v>
      </c>
    </row>
    <row r="19" spans="1:2">
      <c r="A19" s="14">
        <v>15</v>
      </c>
      <c r="B19" s="15">
        <v>1.8000000000000001E-4</v>
      </c>
    </row>
    <row r="20" spans="1:2">
      <c r="A20" s="14">
        <v>16</v>
      </c>
      <c r="B20" s="15">
        <v>1.8000000000000001E-4</v>
      </c>
    </row>
    <row r="21" spans="1:2">
      <c r="A21" s="14">
        <v>17</v>
      </c>
      <c r="B21" s="15">
        <v>1.8000000000000001E-4</v>
      </c>
    </row>
    <row r="22" spans="1:2">
      <c r="A22" s="14">
        <v>18</v>
      </c>
      <c r="B22" s="15">
        <v>1.8000000000000001E-4</v>
      </c>
    </row>
    <row r="23" spans="1:2">
      <c r="A23" s="14">
        <v>19</v>
      </c>
      <c r="B23" s="15">
        <v>1.8000000000000001E-4</v>
      </c>
    </row>
    <row r="24" spans="1:2">
      <c r="A24" s="14">
        <v>20</v>
      </c>
      <c r="B24" s="15">
        <v>1.8000000000000001E-4</v>
      </c>
    </row>
    <row r="25" spans="1:2">
      <c r="A25" s="14">
        <v>21</v>
      </c>
      <c r="B25" s="15">
        <v>1.8000000000000001E-4</v>
      </c>
    </row>
    <row r="26" spans="1:2">
      <c r="A26" s="14">
        <v>22</v>
      </c>
      <c r="B26" s="15">
        <v>1.8000000000000001E-4</v>
      </c>
    </row>
    <row r="27" spans="1:2">
      <c r="A27" s="14">
        <v>23</v>
      </c>
      <c r="B27" s="15">
        <v>1.8000000000000001E-4</v>
      </c>
    </row>
    <row r="28" spans="1:2">
      <c r="A28" s="14">
        <v>24</v>
      </c>
      <c r="B28" s="15">
        <v>1.8000000000000001E-4</v>
      </c>
    </row>
    <row r="29" spans="1:2">
      <c r="A29" s="14">
        <v>25</v>
      </c>
      <c r="B29" s="15">
        <v>1.8000000000000001E-4</v>
      </c>
    </row>
    <row r="30" spans="1:2">
      <c r="A30" s="14">
        <v>26</v>
      </c>
      <c r="B30" s="15">
        <v>5.4000000000000001E-4</v>
      </c>
    </row>
    <row r="31" spans="1:2">
      <c r="A31" s="14">
        <v>27</v>
      </c>
      <c r="B31" s="15">
        <v>1.3500000000000001E-3</v>
      </c>
    </row>
    <row r="32" spans="1:2">
      <c r="A32" s="14">
        <v>28</v>
      </c>
      <c r="B32" s="15">
        <v>7.2000000000000005E-4</v>
      </c>
    </row>
    <row r="33" spans="1:2">
      <c r="A33" s="14">
        <v>29</v>
      </c>
      <c r="B33" s="15">
        <v>1.3500000000000001E-3</v>
      </c>
    </row>
    <row r="34" spans="1:2">
      <c r="A34" s="14">
        <v>30</v>
      </c>
      <c r="B34" s="15">
        <v>1.3500000000000001E-3</v>
      </c>
    </row>
    <row r="35" spans="1:2">
      <c r="A35" s="14">
        <v>31</v>
      </c>
      <c r="B35" s="15">
        <v>3.6000000000000002E-4</v>
      </c>
    </row>
    <row r="36" spans="1:2">
      <c r="A36" s="14">
        <v>32</v>
      </c>
      <c r="B36" s="15">
        <v>1.08E-3</v>
      </c>
    </row>
    <row r="37" spans="1:2">
      <c r="A37" s="14">
        <v>33</v>
      </c>
      <c r="B37" s="15">
        <v>1.8000000000000001E-4</v>
      </c>
    </row>
    <row r="38" spans="1:2">
      <c r="A38" s="14">
        <v>34</v>
      </c>
      <c r="B38" s="15">
        <v>1.09E-3</v>
      </c>
    </row>
    <row r="39" spans="1:2">
      <c r="A39" s="14">
        <v>35</v>
      </c>
      <c r="B39" s="15">
        <v>1.09E-3</v>
      </c>
    </row>
    <row r="40" spans="1:2">
      <c r="A40" s="14">
        <v>36</v>
      </c>
      <c r="B40" s="15">
        <v>1.1800000000000001E-3</v>
      </c>
    </row>
    <row r="41" spans="1:2">
      <c r="A41" s="14">
        <v>37</v>
      </c>
      <c r="B41" s="15">
        <v>9.0000000000000006E-5</v>
      </c>
    </row>
    <row r="42" spans="1:2">
      <c r="A42" s="14">
        <v>38</v>
      </c>
      <c r="B42" s="15">
        <v>1.1800000000000001E-3</v>
      </c>
    </row>
    <row r="43" spans="1:2">
      <c r="A43" s="14">
        <v>39</v>
      </c>
      <c r="B43" s="15">
        <v>1.09E-3</v>
      </c>
    </row>
    <row r="44" spans="1:2">
      <c r="A44" s="14">
        <v>40</v>
      </c>
      <c r="B44" s="15">
        <v>1.1800000000000001E-3</v>
      </c>
    </row>
    <row r="45" spans="1:2">
      <c r="A45" s="14">
        <v>41</v>
      </c>
      <c r="B45" s="15">
        <v>1.1800000000000001E-3</v>
      </c>
    </row>
    <row r="46" spans="1:2">
      <c r="A46" s="14">
        <v>42</v>
      </c>
      <c r="B46" s="15">
        <v>1.2800000000000001E-3</v>
      </c>
    </row>
    <row r="47" spans="1:2">
      <c r="A47" s="14">
        <v>43</v>
      </c>
      <c r="B47" s="15">
        <v>1.3699999999999999E-3</v>
      </c>
    </row>
    <row r="48" spans="1:2">
      <c r="A48" s="14">
        <v>44</v>
      </c>
      <c r="B48" s="15">
        <v>1.4599999999999999E-3</v>
      </c>
    </row>
    <row r="49" spans="1:2">
      <c r="A49" s="14">
        <v>45</v>
      </c>
      <c r="B49" s="15">
        <v>1.74E-3</v>
      </c>
    </row>
    <row r="50" spans="1:2">
      <c r="A50" s="14">
        <v>46</v>
      </c>
      <c r="B50" s="15">
        <v>1.83E-3</v>
      </c>
    </row>
    <row r="51" spans="1:2">
      <c r="A51" s="14">
        <v>47</v>
      </c>
      <c r="B51" s="15">
        <v>2.2000000000000001E-3</v>
      </c>
    </row>
    <row r="52" spans="1:2">
      <c r="A52" s="14">
        <v>48</v>
      </c>
      <c r="B52" s="15">
        <v>2.3900000000000002E-3</v>
      </c>
    </row>
    <row r="53" spans="1:2">
      <c r="A53" s="14">
        <v>49</v>
      </c>
      <c r="B53" s="15">
        <v>2.7699999999999999E-3</v>
      </c>
    </row>
    <row r="54" spans="1:2">
      <c r="A54" s="14">
        <v>50</v>
      </c>
      <c r="B54" s="15">
        <v>3.15E-3</v>
      </c>
    </row>
    <row r="55" spans="1:2">
      <c r="A55" s="14">
        <v>51</v>
      </c>
      <c r="B55" s="15">
        <v>3.7100000000000002E-3</v>
      </c>
    </row>
    <row r="56" spans="1:2">
      <c r="A56" s="14">
        <v>52</v>
      </c>
      <c r="B56" s="15">
        <v>4.3800000000000002E-3</v>
      </c>
    </row>
    <row r="57" spans="1:2">
      <c r="A57" s="14">
        <v>53</v>
      </c>
      <c r="B57" s="15">
        <v>5.1500000000000001E-3</v>
      </c>
    </row>
    <row r="58" spans="1:2">
      <c r="A58" s="14">
        <v>54</v>
      </c>
      <c r="B58" s="15">
        <v>6.0200000000000002E-3</v>
      </c>
    </row>
    <row r="59" spans="1:2">
      <c r="A59" s="14">
        <v>55</v>
      </c>
      <c r="B59" s="15">
        <v>9.2800000000000001E-3</v>
      </c>
    </row>
    <row r="60" spans="1:2">
      <c r="A60" s="14">
        <v>56</v>
      </c>
      <c r="B60" s="15">
        <v>8.1200000000000005E-3</v>
      </c>
    </row>
    <row r="61" spans="1:2">
      <c r="A61" s="14">
        <v>57</v>
      </c>
      <c r="B61" s="15">
        <v>9.2499999999999995E-3</v>
      </c>
    </row>
    <row r="62" spans="1:2">
      <c r="A62" s="14">
        <v>58</v>
      </c>
      <c r="B62" s="15">
        <v>1.06E-2</v>
      </c>
    </row>
    <row r="63" spans="1:2">
      <c r="A63" s="14">
        <v>59</v>
      </c>
      <c r="B63" s="15">
        <v>1.464E-2</v>
      </c>
    </row>
    <row r="64" spans="1:2">
      <c r="A64" s="14">
        <v>60</v>
      </c>
      <c r="B64" s="15">
        <v>1.366E-2</v>
      </c>
    </row>
    <row r="65" spans="1:2">
      <c r="A65" s="14">
        <v>61</v>
      </c>
      <c r="B65" s="15">
        <v>1.5469999999999999E-2</v>
      </c>
    </row>
    <row r="66" spans="1:2">
      <c r="A66" s="14">
        <v>62</v>
      </c>
      <c r="B66" s="15">
        <v>1.746E-2</v>
      </c>
    </row>
    <row r="67" spans="1:2">
      <c r="A67" s="14">
        <v>63</v>
      </c>
      <c r="B67" s="15">
        <v>2.2159999999999999E-2</v>
      </c>
    </row>
    <row r="68" spans="1:2">
      <c r="A68" s="14">
        <v>64</v>
      </c>
      <c r="B68" s="15">
        <v>2.1590000000000002E-2</v>
      </c>
    </row>
    <row r="69" spans="1:2">
      <c r="A69" s="14">
        <v>65</v>
      </c>
      <c r="B69" s="15">
        <v>2.4029999999999999E-2</v>
      </c>
    </row>
    <row r="70" spans="1:2">
      <c r="A70" s="14">
        <v>66</v>
      </c>
      <c r="B70" s="15">
        <v>2.955E-2</v>
      </c>
    </row>
    <row r="71" spans="1:2">
      <c r="A71" s="14">
        <v>67</v>
      </c>
      <c r="B71" s="15">
        <v>2.9069999999999999E-2</v>
      </c>
    </row>
    <row r="72" spans="1:2">
      <c r="A72" s="14">
        <v>68</v>
      </c>
      <c r="B72" s="15">
        <v>3.5040000000000002E-2</v>
      </c>
    </row>
    <row r="73" spans="1:2">
      <c r="A73" s="14">
        <v>69</v>
      </c>
      <c r="B73" s="15">
        <v>3.4959999999999998E-2</v>
      </c>
    </row>
    <row r="74" spans="1:2">
      <c r="A74" s="14">
        <v>70</v>
      </c>
      <c r="B74" s="15">
        <v>4.1709999999999997E-2</v>
      </c>
    </row>
    <row r="75" spans="1:2">
      <c r="A75" s="14">
        <v>71</v>
      </c>
      <c r="B75" s="15">
        <v>4.1669999999999999E-2</v>
      </c>
    </row>
    <row r="76" spans="1:2">
      <c r="A76" s="14">
        <v>72</v>
      </c>
      <c r="B76" s="15">
        <v>4.5699999999999998E-2</v>
      </c>
    </row>
    <row r="77" spans="1:2">
      <c r="A77" s="14">
        <v>73</v>
      </c>
      <c r="B77" s="15">
        <v>5.357E-2</v>
      </c>
    </row>
    <row r="78" spans="1:2">
      <c r="A78" s="14">
        <v>74</v>
      </c>
      <c r="B78" s="15">
        <v>5.4600000000000003E-2</v>
      </c>
    </row>
    <row r="79" spans="1:2">
      <c r="A79" s="14">
        <v>75</v>
      </c>
      <c r="B79" s="15">
        <v>6.3769999999999993E-2</v>
      </c>
    </row>
    <row r="80" spans="1:2">
      <c r="A80" s="14">
        <v>76</v>
      </c>
      <c r="B80" s="15">
        <v>6.5680000000000002E-2</v>
      </c>
    </row>
    <row r="81" spans="1:2">
      <c r="A81" s="14">
        <v>77</v>
      </c>
      <c r="B81" s="15">
        <v>7.5880000000000003E-2</v>
      </c>
    </row>
    <row r="82" spans="1:2">
      <c r="A82" s="14">
        <v>78</v>
      </c>
      <c r="B82" s="15">
        <v>7.9089999999999994E-2</v>
      </c>
    </row>
    <row r="83" spans="1:2">
      <c r="A83" s="14">
        <v>79</v>
      </c>
      <c r="B83" s="15">
        <v>9.0910000000000005E-2</v>
      </c>
    </row>
    <row r="84" spans="1:2">
      <c r="A84" s="14">
        <v>80</v>
      </c>
      <c r="B84" s="15">
        <v>9.5189999999999997E-2</v>
      </c>
    </row>
    <row r="85" spans="1:2">
      <c r="A85" s="14">
        <v>81</v>
      </c>
      <c r="B85" s="15">
        <v>0.10893</v>
      </c>
    </row>
    <row r="86" spans="1:2">
      <c r="A86" s="14">
        <v>82</v>
      </c>
      <c r="B86" s="15">
        <v>0.11837</v>
      </c>
    </row>
    <row r="87" spans="1:2">
      <c r="A87" s="14">
        <v>83</v>
      </c>
      <c r="B87" s="15">
        <v>0.12512999999999999</v>
      </c>
    </row>
    <row r="88" spans="1:2">
      <c r="A88" s="14">
        <v>84</v>
      </c>
      <c r="B88" s="15">
        <v>0.14147999999999999</v>
      </c>
    </row>
    <row r="89" spans="1:2">
      <c r="A89" s="14">
        <v>85</v>
      </c>
      <c r="B89" s="15">
        <v>0.15082999999999999</v>
      </c>
    </row>
    <row r="90" spans="1:2">
      <c r="A90" s="14">
        <v>86</v>
      </c>
      <c r="B90" s="15">
        <v>0.16914000000000001</v>
      </c>
    </row>
    <row r="91" spans="1:2">
      <c r="A91" s="14">
        <v>87</v>
      </c>
      <c r="B91" s="15">
        <v>0.18315000000000001</v>
      </c>
    </row>
    <row r="92" spans="1:2">
      <c r="A92" s="14">
        <v>88</v>
      </c>
      <c r="B92" s="15">
        <v>0.19531000000000001</v>
      </c>
    </row>
    <row r="93" spans="1:2">
      <c r="A93" s="14">
        <v>89</v>
      </c>
      <c r="B93" s="15">
        <v>0.21359</v>
      </c>
    </row>
    <row r="94" spans="1:2">
      <c r="A94" s="14">
        <v>90</v>
      </c>
      <c r="B94" s="15">
        <v>0.22592999999999999</v>
      </c>
    </row>
    <row r="95" spans="1:2">
      <c r="A95" s="14">
        <v>91</v>
      </c>
      <c r="B95" s="15">
        <v>0.24560999999999999</v>
      </c>
    </row>
    <row r="96" spans="1:2">
      <c r="A96" s="14">
        <v>92</v>
      </c>
      <c r="B96" s="15">
        <v>0.26216</v>
      </c>
    </row>
    <row r="97" spans="1:2">
      <c r="A97" s="14">
        <v>93</v>
      </c>
      <c r="B97" s="15">
        <v>0.27506999999999998</v>
      </c>
    </row>
    <row r="98" spans="1:2">
      <c r="A98" s="14">
        <v>94</v>
      </c>
      <c r="B98" s="15">
        <v>0.3004</v>
      </c>
    </row>
    <row r="99" spans="1:2">
      <c r="A99" s="14">
        <v>95</v>
      </c>
      <c r="B99" s="15">
        <v>0.31637999999999999</v>
      </c>
    </row>
    <row r="100" spans="1:2">
      <c r="A100" s="14">
        <v>96</v>
      </c>
      <c r="B100" s="15">
        <v>0.33057999999999998</v>
      </c>
    </row>
    <row r="101" spans="1:2">
      <c r="A101" s="14">
        <v>97</v>
      </c>
      <c r="B101" s="15">
        <v>0.35802</v>
      </c>
    </row>
    <row r="102" spans="1:2">
      <c r="A102" s="14">
        <v>98</v>
      </c>
      <c r="B102" s="15">
        <v>0.38462000000000002</v>
      </c>
    </row>
    <row r="103" spans="1:2">
      <c r="A103" s="14">
        <v>99</v>
      </c>
      <c r="B103" s="15">
        <v>1</v>
      </c>
    </row>
  </sheetData>
  <mergeCells count="1">
    <mergeCell ref="A1:B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T104"/>
  <sheetViews>
    <sheetView tabSelected="1" topLeftCell="A8" zoomScaleNormal="100" workbookViewId="0">
      <selection activeCell="E57" sqref="E57"/>
    </sheetView>
  </sheetViews>
  <sheetFormatPr baseColWidth="10" defaultColWidth="9.140625" defaultRowHeight="12.75"/>
  <cols>
    <col min="1" max="1" width="8" style="13"/>
    <col min="2" max="5" width="14" style="13"/>
    <col min="6" max="254" width="11.28515625" style="13"/>
    <col min="255" max="1025" width="11.28515625"/>
  </cols>
  <sheetData>
    <row r="1" spans="1:5" ht="33.4" customHeight="1">
      <c r="A1" s="11" t="s">
        <v>4</v>
      </c>
      <c r="B1" s="11"/>
      <c r="C1" s="11"/>
      <c r="D1" s="11"/>
      <c r="E1" s="11"/>
    </row>
    <row r="2" spans="1:5">
      <c r="A2"/>
      <c r="B2"/>
      <c r="C2"/>
      <c r="D2"/>
      <c r="E2"/>
    </row>
    <row r="3" spans="1:5">
      <c r="A3" s="16" t="s">
        <v>5</v>
      </c>
      <c r="B3" s="16" t="s">
        <v>6</v>
      </c>
      <c r="C3" s="16" t="s">
        <v>7</v>
      </c>
      <c r="D3" s="16" t="s">
        <v>8</v>
      </c>
      <c r="E3" s="16" t="s">
        <v>9</v>
      </c>
    </row>
    <row r="4" spans="1:5">
      <c r="A4" s="17">
        <v>0</v>
      </c>
      <c r="B4" s="18">
        <v>1.555E-3</v>
      </c>
      <c r="C4" s="19">
        <v>1.1609999999999999E-3</v>
      </c>
      <c r="D4" s="18">
        <v>5.6384999999999998E-2</v>
      </c>
      <c r="E4" s="19">
        <v>4.9623E-2</v>
      </c>
    </row>
    <row r="5" spans="1:5">
      <c r="A5" s="20">
        <v>1</v>
      </c>
      <c r="B5" s="21">
        <v>1.0399999999999999E-4</v>
      </c>
      <c r="C5" s="22">
        <v>7.6000000000000004E-5</v>
      </c>
      <c r="D5" s="21">
        <v>3.9740000000000001E-3</v>
      </c>
      <c r="E5" s="22">
        <v>3.9649999999999998E-3</v>
      </c>
    </row>
    <row r="6" spans="1:5">
      <c r="A6" s="20">
        <v>2</v>
      </c>
      <c r="B6" s="21">
        <v>6.6000000000000005E-5</v>
      </c>
      <c r="C6" s="22">
        <v>4.3999999999999999E-5</v>
      </c>
      <c r="D6" s="21">
        <v>1.9220000000000001E-3</v>
      </c>
      <c r="E6" s="22">
        <v>2.1970000000000002E-3</v>
      </c>
    </row>
    <row r="7" spans="1:5">
      <c r="A7" s="20">
        <v>3</v>
      </c>
      <c r="B7" s="21">
        <v>6.3999999999999997E-5</v>
      </c>
      <c r="C7" s="22">
        <v>4.3999999999999999E-5</v>
      </c>
      <c r="D7" s="21">
        <v>1.4480000000000001E-3</v>
      </c>
      <c r="E7" s="22">
        <v>1.5709999999999999E-3</v>
      </c>
    </row>
    <row r="8" spans="1:5">
      <c r="A8" s="20">
        <v>4</v>
      </c>
      <c r="B8" s="21">
        <v>6.0999999999999999E-5</v>
      </c>
      <c r="C8" s="22">
        <v>4.3000000000000002E-5</v>
      </c>
      <c r="D8" s="21">
        <v>1.1019999999999999E-3</v>
      </c>
      <c r="E8" s="22">
        <v>1.1230000000000001E-3</v>
      </c>
    </row>
    <row r="9" spans="1:5">
      <c r="A9" s="20">
        <v>5</v>
      </c>
      <c r="B9" s="21">
        <v>5.8999999999999998E-5</v>
      </c>
      <c r="C9" s="22">
        <v>4.6E-5</v>
      </c>
      <c r="D9" s="21">
        <v>8.5499999999999997E-4</v>
      </c>
      <c r="E9" s="22">
        <v>8.1099999999999998E-4</v>
      </c>
    </row>
    <row r="10" spans="1:5">
      <c r="A10" s="20">
        <v>6</v>
      </c>
      <c r="B10" s="21">
        <v>6.2000000000000003E-5</v>
      </c>
      <c r="C10" s="22">
        <v>5.1999999999999997E-5</v>
      </c>
      <c r="D10" s="21">
        <v>6.8300000000000001E-4</v>
      </c>
      <c r="E10" s="22">
        <v>6.0700000000000001E-4</v>
      </c>
    </row>
    <row r="11" spans="1:5">
      <c r="A11" s="20">
        <v>7</v>
      </c>
      <c r="B11" s="21">
        <v>6.7000000000000002E-5</v>
      </c>
      <c r="C11" s="22">
        <v>5.1999999999999997E-5</v>
      </c>
      <c r="D11" s="21">
        <v>5.6800000000000004E-4</v>
      </c>
      <c r="E11" s="22">
        <v>4.7199999999999998E-4</v>
      </c>
    </row>
    <row r="12" spans="1:5">
      <c r="A12" s="20">
        <v>8</v>
      </c>
      <c r="B12" s="21">
        <v>6.8999999999999997E-5</v>
      </c>
      <c r="C12" s="22">
        <v>4.1E-5</v>
      </c>
      <c r="D12" s="21">
        <v>4.8899999999999996E-4</v>
      </c>
      <c r="E12" s="22">
        <v>3.88E-4</v>
      </c>
    </row>
    <row r="13" spans="1:5">
      <c r="A13" s="20">
        <v>9</v>
      </c>
      <c r="B13" s="21">
        <v>5.8E-5</v>
      </c>
      <c r="C13" s="22">
        <v>3.4999999999999997E-5</v>
      </c>
      <c r="D13" s="21">
        <v>4.4499999999999997E-4</v>
      </c>
      <c r="E13" s="22">
        <v>3.4600000000000001E-4</v>
      </c>
    </row>
    <row r="14" spans="1:5">
      <c r="A14" s="20">
        <v>10</v>
      </c>
      <c r="B14" s="21">
        <v>5.1E-5</v>
      </c>
      <c r="C14" s="22">
        <v>3.4E-5</v>
      </c>
      <c r="D14" s="21">
        <v>4.17E-4</v>
      </c>
      <c r="E14" s="22">
        <v>3.2699999999999998E-4</v>
      </c>
    </row>
    <row r="15" spans="1:5">
      <c r="A15" s="20">
        <v>11</v>
      </c>
      <c r="B15" s="21">
        <v>4.6999999999999997E-5</v>
      </c>
      <c r="C15" s="22">
        <v>3.6000000000000001E-5</v>
      </c>
      <c r="D15" s="21">
        <v>4.0200000000000001E-4</v>
      </c>
      <c r="E15" s="22">
        <v>3.1799999999999998E-4</v>
      </c>
    </row>
    <row r="16" spans="1:5">
      <c r="A16" s="20">
        <v>12</v>
      </c>
      <c r="B16" s="21">
        <v>5.3999999999999998E-5</v>
      </c>
      <c r="C16" s="22">
        <v>4.0000000000000003E-5</v>
      </c>
      <c r="D16" s="21">
        <v>4.1399999999999998E-4</v>
      </c>
      <c r="E16" s="22">
        <v>3.2899999999999997E-4</v>
      </c>
    </row>
    <row r="17" spans="1:5">
      <c r="A17" s="20">
        <v>13</v>
      </c>
      <c r="B17" s="21">
        <v>7.4999999999999993E-5</v>
      </c>
      <c r="C17" s="22">
        <v>4.8999999999999998E-5</v>
      </c>
      <c r="D17" s="21">
        <v>4.57E-4</v>
      </c>
      <c r="E17" s="22">
        <v>3.57E-4</v>
      </c>
    </row>
    <row r="18" spans="1:5">
      <c r="A18" s="20">
        <v>14</v>
      </c>
      <c r="B18" s="21">
        <v>1.2E-4</v>
      </c>
      <c r="C18" s="22">
        <v>7.3999999999999996E-5</v>
      </c>
      <c r="D18" s="21">
        <v>5.3300000000000005E-4</v>
      </c>
      <c r="E18" s="22">
        <v>4.0999999999999999E-4</v>
      </c>
    </row>
    <row r="19" spans="1:5">
      <c r="A19" s="20">
        <v>15</v>
      </c>
      <c r="B19" s="21">
        <v>2.8800000000000001E-4</v>
      </c>
      <c r="C19" s="22">
        <v>1.26E-4</v>
      </c>
      <c r="D19" s="21">
        <v>6.9999999999999999E-4</v>
      </c>
      <c r="E19" s="22">
        <v>4.8799999999999999E-4</v>
      </c>
    </row>
    <row r="20" spans="1:5">
      <c r="A20" s="20">
        <v>16</v>
      </c>
      <c r="B20" s="21">
        <v>7.0699999999999995E-4</v>
      </c>
      <c r="C20" s="22">
        <v>1.76E-4</v>
      </c>
      <c r="D20" s="21">
        <v>9.59E-4</v>
      </c>
      <c r="E20" s="22">
        <v>5.6099999999999998E-4</v>
      </c>
    </row>
    <row r="21" spans="1:5">
      <c r="A21" s="20">
        <v>17</v>
      </c>
      <c r="B21" s="21">
        <v>1.1919999999999999E-3</v>
      </c>
      <c r="C21" s="22">
        <v>1.7799999999999999E-4</v>
      </c>
      <c r="D21" s="21">
        <v>1.2260000000000001E-3</v>
      </c>
      <c r="E21" s="22">
        <v>5.9900000000000003E-4</v>
      </c>
    </row>
    <row r="22" spans="1:5">
      <c r="A22" s="20">
        <v>18</v>
      </c>
      <c r="B22" s="21">
        <v>1.506E-3</v>
      </c>
      <c r="C22" s="22">
        <v>1.63E-4</v>
      </c>
      <c r="D22" s="21">
        <v>1.4450000000000001E-3</v>
      </c>
      <c r="E22" s="22">
        <v>6.1300000000000005E-4</v>
      </c>
    </row>
    <row r="23" spans="1:5">
      <c r="A23" s="20">
        <v>19</v>
      </c>
      <c r="B23" s="21">
        <v>1.426E-3</v>
      </c>
      <c r="C23" s="22">
        <v>1.44E-4</v>
      </c>
      <c r="D23" s="21">
        <v>1.544E-3</v>
      </c>
      <c r="E23" s="22">
        <v>6.1399999999999996E-4</v>
      </c>
    </row>
    <row r="24" spans="1:5">
      <c r="A24" s="20">
        <v>20</v>
      </c>
      <c r="B24" s="21">
        <v>1.201E-3</v>
      </c>
      <c r="C24" s="22">
        <v>1.2300000000000001E-4</v>
      </c>
      <c r="D24" s="21">
        <v>1.5460000000000001E-3</v>
      </c>
      <c r="E24" s="22">
        <v>5.9999999999999995E-4</v>
      </c>
    </row>
    <row r="25" spans="1:5">
      <c r="A25" s="20">
        <v>21</v>
      </c>
      <c r="B25" s="21">
        <v>1.0139999999999999E-3</v>
      </c>
      <c r="C25" s="22">
        <v>1.0900000000000001E-4</v>
      </c>
      <c r="D25" s="21">
        <v>1.493E-3</v>
      </c>
      <c r="E25" s="22">
        <v>5.8E-4</v>
      </c>
    </row>
    <row r="26" spans="1:5">
      <c r="A26" s="20">
        <v>22</v>
      </c>
      <c r="B26" s="21">
        <v>9.0499999999999999E-4</v>
      </c>
      <c r="C26" s="22">
        <v>1.03E-4</v>
      </c>
      <c r="D26" s="21">
        <v>1.4289999999999999E-3</v>
      </c>
      <c r="E26" s="22">
        <v>5.6700000000000001E-4</v>
      </c>
    </row>
    <row r="27" spans="1:5">
      <c r="A27" s="20">
        <v>23</v>
      </c>
      <c r="B27" s="21">
        <v>8.4099999999999995E-4</v>
      </c>
      <c r="C27" s="22">
        <v>1.01E-4</v>
      </c>
      <c r="D27" s="21">
        <v>1.3699999999999999E-3</v>
      </c>
      <c r="E27" s="22">
        <v>5.5900000000000004E-4</v>
      </c>
    </row>
    <row r="28" spans="1:5">
      <c r="A28" s="20">
        <v>24</v>
      </c>
      <c r="B28" s="21">
        <v>8.0400000000000003E-4</v>
      </c>
      <c r="C28" s="22">
        <v>1.01E-4</v>
      </c>
      <c r="D28" s="21">
        <v>1.32E-3</v>
      </c>
      <c r="E28" s="22">
        <v>5.4799999999999998E-4</v>
      </c>
    </row>
    <row r="29" spans="1:5">
      <c r="A29" s="20">
        <v>25</v>
      </c>
      <c r="B29" s="21">
        <v>7.7099999999999998E-4</v>
      </c>
      <c r="C29" s="22">
        <v>9.8999999999999994E-5</v>
      </c>
      <c r="D29" s="21">
        <v>1.286E-3</v>
      </c>
      <c r="E29" s="22">
        <v>5.3799999999999996E-4</v>
      </c>
    </row>
    <row r="30" spans="1:5">
      <c r="A30" s="20">
        <v>26</v>
      </c>
      <c r="B30" s="21">
        <v>7.5100000000000004E-4</v>
      </c>
      <c r="C30" s="22">
        <v>1.02E-4</v>
      </c>
      <c r="D30" s="21">
        <v>1.2700000000000001E-3</v>
      </c>
      <c r="E30" s="22">
        <v>5.31E-4</v>
      </c>
    </row>
    <row r="31" spans="1:5">
      <c r="A31" s="20">
        <v>27</v>
      </c>
      <c r="B31" s="21">
        <v>7.3800000000000005E-4</v>
      </c>
      <c r="C31" s="22">
        <v>1.07E-4</v>
      </c>
      <c r="D31" s="21">
        <v>1.2600000000000001E-3</v>
      </c>
      <c r="E31" s="22">
        <v>5.2899999999999996E-4</v>
      </c>
    </row>
    <row r="32" spans="1:5">
      <c r="A32" s="20">
        <v>28</v>
      </c>
      <c r="B32" s="21">
        <v>7.27E-4</v>
      </c>
      <c r="C32" s="22">
        <v>1.16E-4</v>
      </c>
      <c r="D32" s="21">
        <v>1.25E-3</v>
      </c>
      <c r="E32" s="22">
        <v>5.3300000000000005E-4</v>
      </c>
    </row>
    <row r="33" spans="1:5">
      <c r="A33" s="20">
        <v>29</v>
      </c>
      <c r="B33" s="21">
        <v>7.2000000000000005E-4</v>
      </c>
      <c r="C33" s="22">
        <v>1.26E-4</v>
      </c>
      <c r="D33" s="21">
        <v>1.243E-3</v>
      </c>
      <c r="E33" s="22">
        <v>5.3700000000000004E-4</v>
      </c>
    </row>
    <row r="34" spans="1:5">
      <c r="A34" s="20">
        <v>30</v>
      </c>
      <c r="B34" s="21">
        <v>7.1699999999999997E-4</v>
      </c>
      <c r="C34" s="22">
        <v>1.3999999999999999E-4</v>
      </c>
      <c r="D34" s="21">
        <v>1.242E-3</v>
      </c>
      <c r="E34" s="22">
        <v>5.4900000000000001E-4</v>
      </c>
    </row>
    <row r="35" spans="1:5">
      <c r="A35" s="20">
        <v>31</v>
      </c>
      <c r="B35" s="21">
        <v>7.2400000000000003E-4</v>
      </c>
      <c r="C35" s="22">
        <v>1.6699999999999999E-4</v>
      </c>
      <c r="D35" s="21">
        <v>1.2440000000000001E-3</v>
      </c>
      <c r="E35" s="22">
        <v>5.8100000000000003E-4</v>
      </c>
    </row>
    <row r="36" spans="1:5">
      <c r="A36" s="20">
        <v>32</v>
      </c>
      <c r="B36" s="21">
        <v>7.3999999999999999E-4</v>
      </c>
      <c r="C36" s="22">
        <v>2.12E-4</v>
      </c>
      <c r="D36" s="21">
        <v>1.2539999999999999E-3</v>
      </c>
      <c r="E36" s="22">
        <v>6.3400000000000001E-4</v>
      </c>
    </row>
    <row r="37" spans="1:5">
      <c r="A37" s="20">
        <v>33</v>
      </c>
      <c r="B37" s="21">
        <v>7.7700000000000002E-4</v>
      </c>
      <c r="C37" s="22">
        <v>2.7099999999999997E-4</v>
      </c>
      <c r="D37" s="21">
        <v>1.2819999999999999E-3</v>
      </c>
      <c r="E37" s="22">
        <v>6.9999999999999999E-4</v>
      </c>
    </row>
    <row r="38" spans="1:5">
      <c r="A38" s="20">
        <v>34</v>
      </c>
      <c r="B38" s="21">
        <v>8.3699999999999996E-4</v>
      </c>
      <c r="C38" s="22">
        <v>3.3199999999999999E-4</v>
      </c>
      <c r="D38" s="21">
        <v>1.333E-3</v>
      </c>
      <c r="E38" s="22">
        <v>7.67E-4</v>
      </c>
    </row>
    <row r="39" spans="1:5">
      <c r="A39" s="20">
        <v>35</v>
      </c>
      <c r="B39" s="21">
        <v>9.2299999999999999E-4</v>
      </c>
      <c r="C39" s="22">
        <v>3.88E-4</v>
      </c>
      <c r="D39" s="21">
        <v>1.4139999999999999E-3</v>
      </c>
      <c r="E39" s="22">
        <v>8.3000000000000001E-4</v>
      </c>
    </row>
    <row r="40" spans="1:5">
      <c r="A40" s="20">
        <v>36</v>
      </c>
      <c r="B40" s="21">
        <v>1.0349999999999999E-3</v>
      </c>
      <c r="C40" s="22">
        <v>4.2900000000000002E-4</v>
      </c>
      <c r="D40" s="21">
        <v>1.5219999999999999E-3</v>
      </c>
      <c r="E40" s="22">
        <v>8.83E-4</v>
      </c>
    </row>
    <row r="41" spans="1:5">
      <c r="A41" s="20">
        <v>37</v>
      </c>
      <c r="B41" s="21">
        <v>1.1720000000000001E-3</v>
      </c>
      <c r="C41" s="22">
        <v>4.55E-4</v>
      </c>
      <c r="D41" s="21">
        <v>1.653E-3</v>
      </c>
      <c r="E41" s="22">
        <v>9.2299999999999999E-4</v>
      </c>
    </row>
    <row r="42" spans="1:5">
      <c r="A42" s="20">
        <v>38</v>
      </c>
      <c r="B42" s="21">
        <v>1.328E-3</v>
      </c>
      <c r="C42" s="22">
        <v>4.6900000000000002E-4</v>
      </c>
      <c r="D42" s="21">
        <v>1.802E-3</v>
      </c>
      <c r="E42" s="22">
        <v>9.5100000000000002E-4</v>
      </c>
    </row>
    <row r="43" spans="1:5">
      <c r="A43" s="20">
        <v>39</v>
      </c>
      <c r="B43" s="21">
        <v>1.488E-3</v>
      </c>
      <c r="C43" s="22">
        <v>4.84E-4</v>
      </c>
      <c r="D43" s="21">
        <v>1.9610000000000001E-3</v>
      </c>
      <c r="E43" s="22">
        <v>9.7799999999999992E-4</v>
      </c>
    </row>
    <row r="44" spans="1:5">
      <c r="A44" s="20">
        <v>40</v>
      </c>
      <c r="B44" s="21">
        <v>1.6639999999999999E-3</v>
      </c>
      <c r="C44" s="22">
        <v>5.13E-4</v>
      </c>
      <c r="D44" s="21">
        <v>2.14E-3</v>
      </c>
      <c r="E44" s="22">
        <v>1.0189999999999999E-3</v>
      </c>
    </row>
    <row r="45" spans="1:5">
      <c r="A45" s="20">
        <v>41</v>
      </c>
      <c r="B45" s="21">
        <v>1.874E-3</v>
      </c>
      <c r="C45" s="22">
        <v>5.62E-4</v>
      </c>
      <c r="D45" s="21">
        <v>2.3470000000000001E-3</v>
      </c>
      <c r="E45" s="22">
        <v>1.0790000000000001E-3</v>
      </c>
    </row>
    <row r="46" spans="1:5">
      <c r="A46" s="20">
        <v>42</v>
      </c>
      <c r="B46" s="21">
        <v>2.1250000000000002E-3</v>
      </c>
      <c r="C46" s="22">
        <v>6.3599999999999996E-4</v>
      </c>
      <c r="D46" s="21">
        <v>2.5860000000000002E-3</v>
      </c>
      <c r="E46" s="22">
        <v>1.1640000000000001E-3</v>
      </c>
    </row>
    <row r="47" spans="1:5">
      <c r="A47" s="20">
        <v>43</v>
      </c>
      <c r="B47" s="21">
        <v>2.415E-3</v>
      </c>
      <c r="C47" s="22">
        <v>7.3099999999999999E-4</v>
      </c>
      <c r="D47" s="21">
        <v>2.862E-3</v>
      </c>
      <c r="E47" s="22">
        <v>1.2700000000000001E-3</v>
      </c>
    </row>
    <row r="48" spans="1:5">
      <c r="A48" s="20">
        <v>44</v>
      </c>
      <c r="B48" s="21">
        <v>2.722E-3</v>
      </c>
      <c r="C48" s="22">
        <v>8.43E-4</v>
      </c>
      <c r="D48" s="21">
        <v>3.163E-3</v>
      </c>
      <c r="E48" s="22">
        <v>1.395E-3</v>
      </c>
    </row>
    <row r="49" spans="1:5">
      <c r="A49" s="20">
        <v>45</v>
      </c>
      <c r="B49" s="21">
        <v>3.0200000000000001E-3</v>
      </c>
      <c r="C49" s="22">
        <v>9.5500000000000001E-4</v>
      </c>
      <c r="D49" s="21">
        <v>3.48E-3</v>
      </c>
      <c r="E49" s="22">
        <v>1.5219999999999999E-3</v>
      </c>
    </row>
    <row r="50" spans="1:5">
      <c r="A50" s="20">
        <v>46</v>
      </c>
      <c r="B50" s="21">
        <v>3.3219999999999999E-3</v>
      </c>
      <c r="C50" s="22">
        <v>1.0660000000000001E-3</v>
      </c>
      <c r="D50" s="21">
        <v>3.8170000000000001E-3</v>
      </c>
      <c r="E50" s="22">
        <v>1.65E-3</v>
      </c>
    </row>
    <row r="51" spans="1:5">
      <c r="A51" s="20">
        <v>47</v>
      </c>
      <c r="B51" s="21">
        <v>3.63E-3</v>
      </c>
      <c r="C51" s="22">
        <v>1.17E-3</v>
      </c>
      <c r="D51" s="21">
        <v>4.1720000000000004E-3</v>
      </c>
      <c r="E51" s="22">
        <v>1.7730000000000001E-3</v>
      </c>
    </row>
    <row r="52" spans="1:5">
      <c r="A52" s="20">
        <v>48</v>
      </c>
      <c r="B52" s="21">
        <v>3.954E-3</v>
      </c>
      <c r="C52" s="22">
        <v>1.276E-3</v>
      </c>
      <c r="D52" s="21">
        <v>4.5459999999999997E-3</v>
      </c>
      <c r="E52" s="22">
        <v>1.897E-3</v>
      </c>
    </row>
    <row r="53" spans="1:5">
      <c r="A53" s="20">
        <v>49</v>
      </c>
      <c r="B53" s="21">
        <v>4.3030000000000004E-3</v>
      </c>
      <c r="C53" s="22">
        <v>1.389E-3</v>
      </c>
      <c r="D53" s="21">
        <v>4.9430000000000003E-3</v>
      </c>
      <c r="E53" s="22">
        <v>2.0270000000000002E-3</v>
      </c>
    </row>
    <row r="54" spans="1:5">
      <c r="A54" s="20">
        <v>50</v>
      </c>
      <c r="B54" s="21">
        <v>4.6750000000000003E-3</v>
      </c>
      <c r="C54" s="22">
        <v>1.5169999999999999E-3</v>
      </c>
      <c r="D54" s="21">
        <v>5.3600000000000002E-3</v>
      </c>
      <c r="E54" s="22">
        <v>2.1679999999999998E-3</v>
      </c>
    </row>
    <row r="55" spans="1:5">
      <c r="A55" s="20">
        <v>51</v>
      </c>
      <c r="B55" s="21">
        <v>5.0769999999999999E-3</v>
      </c>
      <c r="C55" s="22">
        <v>1.6620000000000001E-3</v>
      </c>
      <c r="D55" s="21">
        <v>5.8019999999999999E-3</v>
      </c>
      <c r="E55" s="22">
        <v>2.3210000000000001E-3</v>
      </c>
    </row>
    <row r="56" spans="1:5">
      <c r="A56" s="20">
        <v>52</v>
      </c>
      <c r="B56" s="21">
        <v>5.5129999999999997E-3</v>
      </c>
      <c r="C56" s="22">
        <v>1.823E-3</v>
      </c>
      <c r="D56" s="21">
        <v>6.2709999999999997E-3</v>
      </c>
      <c r="E56" s="22">
        <v>2.4919999999999999E-3</v>
      </c>
    </row>
    <row r="57" spans="1:5">
      <c r="A57" s="20">
        <v>53</v>
      </c>
      <c r="B57" s="21">
        <v>5.9740000000000001E-3</v>
      </c>
      <c r="C57" s="22">
        <v>2.0170000000000001E-3</v>
      </c>
      <c r="D57" s="21">
        <v>6.7609999999999996E-3</v>
      </c>
      <c r="E57" s="22">
        <v>2.6819999999999999E-3</v>
      </c>
    </row>
    <row r="58" spans="1:5">
      <c r="A58" s="20">
        <v>54</v>
      </c>
      <c r="B58" s="21">
        <v>6.4530000000000004E-3</v>
      </c>
      <c r="C58" s="22">
        <v>2.2269999999999998E-3</v>
      </c>
      <c r="D58" s="21">
        <v>7.2659999999999999E-3</v>
      </c>
      <c r="E58" s="22">
        <v>2.895E-3</v>
      </c>
    </row>
    <row r="59" spans="1:5">
      <c r="A59" s="20">
        <v>55</v>
      </c>
      <c r="B59" s="21">
        <v>6.9350000000000002E-3</v>
      </c>
      <c r="C59" s="22">
        <v>2.4499999999999999E-3</v>
      </c>
      <c r="D59" s="21">
        <v>7.7739999999999997E-3</v>
      </c>
      <c r="E59" s="22">
        <v>3.1220000000000002E-3</v>
      </c>
    </row>
    <row r="60" spans="1:5">
      <c r="A60" s="20">
        <v>56</v>
      </c>
      <c r="B60" s="21">
        <v>7.5100000000000002E-3</v>
      </c>
      <c r="C60" s="22">
        <v>2.7330000000000002E-3</v>
      </c>
      <c r="D60" s="21">
        <v>8.3569999999999998E-3</v>
      </c>
      <c r="E60" s="22">
        <v>3.4069999999999999E-3</v>
      </c>
    </row>
    <row r="61" spans="1:5">
      <c r="A61" s="20">
        <v>57</v>
      </c>
      <c r="B61" s="21">
        <v>8.1530000000000005E-3</v>
      </c>
      <c r="C61" s="22">
        <v>3.0249999999999999E-3</v>
      </c>
      <c r="D61" s="21">
        <v>8.9949999999999995E-3</v>
      </c>
      <c r="E61" s="22">
        <v>3.6960000000000001E-3</v>
      </c>
    </row>
    <row r="62" spans="1:5">
      <c r="A62" s="20">
        <v>58</v>
      </c>
      <c r="B62" s="21">
        <v>8.8299999999999993E-3</v>
      </c>
      <c r="C62" s="22">
        <v>3.3189999999999999E-3</v>
      </c>
      <c r="D62" s="21">
        <v>9.6640000000000007E-3</v>
      </c>
      <c r="E62" s="22">
        <v>3.9849999999999998E-3</v>
      </c>
    </row>
    <row r="63" spans="1:5">
      <c r="A63" s="20">
        <v>59</v>
      </c>
      <c r="B63" s="21">
        <v>9.5230000000000002E-3</v>
      </c>
      <c r="C63" s="22">
        <v>3.63E-3</v>
      </c>
      <c r="D63" s="21">
        <v>1.0349000000000001E-2</v>
      </c>
      <c r="E63" s="22">
        <v>4.2929999999999999E-3</v>
      </c>
    </row>
    <row r="64" spans="1:5">
      <c r="A64" s="20">
        <v>60</v>
      </c>
      <c r="B64" s="21">
        <v>1.0214000000000001E-2</v>
      </c>
      <c r="C64" s="22">
        <v>3.9519999999999998E-3</v>
      </c>
      <c r="D64" s="21">
        <v>1.1035E-2</v>
      </c>
      <c r="E64" s="22">
        <v>4.6119999999999998E-3</v>
      </c>
    </row>
    <row r="65" spans="1:5">
      <c r="A65" s="20">
        <v>61</v>
      </c>
      <c r="B65" s="21">
        <v>1.0931E-2</v>
      </c>
      <c r="C65" s="22">
        <v>4.2960000000000003E-3</v>
      </c>
      <c r="D65" s="21">
        <v>1.174E-2</v>
      </c>
      <c r="E65" s="22">
        <v>4.9519999999999998E-3</v>
      </c>
    </row>
    <row r="66" spans="1:5">
      <c r="A66" s="20">
        <v>62</v>
      </c>
      <c r="B66" s="21">
        <v>1.1766E-2</v>
      </c>
      <c r="C66" s="22">
        <v>4.6690000000000004E-3</v>
      </c>
      <c r="D66" s="21">
        <v>1.2548E-2</v>
      </c>
      <c r="E66" s="22">
        <v>5.3109999999999997E-3</v>
      </c>
    </row>
    <row r="67" spans="1:5">
      <c r="A67" s="20">
        <v>63</v>
      </c>
      <c r="B67" s="21">
        <v>1.278E-2</v>
      </c>
      <c r="C67" s="22">
        <v>5.045E-3</v>
      </c>
      <c r="D67" s="21">
        <v>1.3518000000000001E-2</v>
      </c>
      <c r="E67" s="22">
        <v>5.6639999999999998E-3</v>
      </c>
    </row>
    <row r="68" spans="1:5">
      <c r="A68" s="20">
        <v>64</v>
      </c>
      <c r="B68" s="21">
        <v>1.4024E-2</v>
      </c>
      <c r="C68" s="22">
        <v>5.4359999999999999E-3</v>
      </c>
      <c r="D68" s="21">
        <v>1.4703000000000001E-2</v>
      </c>
      <c r="E68" s="22">
        <v>6.0200000000000002E-3</v>
      </c>
    </row>
    <row r="69" spans="1:5">
      <c r="A69" s="20">
        <v>65</v>
      </c>
      <c r="B69" s="21">
        <v>1.5509E-2</v>
      </c>
      <c r="C69" s="22">
        <v>5.8849999999999996E-3</v>
      </c>
      <c r="D69" s="21">
        <v>1.6114E-2</v>
      </c>
      <c r="E69" s="22">
        <v>6.4229999999999999E-3</v>
      </c>
    </row>
    <row r="70" spans="1:5">
      <c r="A70" s="20">
        <v>66</v>
      </c>
      <c r="B70" s="21">
        <v>1.7316000000000002E-2</v>
      </c>
      <c r="C70" s="22">
        <v>6.4539999999999997E-3</v>
      </c>
      <c r="D70" s="21">
        <v>1.7826999999999999E-2</v>
      </c>
      <c r="E70" s="22">
        <v>6.9300000000000004E-3</v>
      </c>
    </row>
    <row r="71" spans="1:5">
      <c r="A71" s="20">
        <v>67</v>
      </c>
      <c r="B71" s="21">
        <v>1.95E-2</v>
      </c>
      <c r="C71" s="22">
        <v>7.0559999999999998E-3</v>
      </c>
      <c r="D71" s="21">
        <v>1.9899E-2</v>
      </c>
      <c r="E71" s="22">
        <v>7.5500000000000003E-3</v>
      </c>
    </row>
    <row r="72" spans="1:5">
      <c r="A72" s="20">
        <v>68</v>
      </c>
      <c r="B72" s="21">
        <v>2.2259999999999999E-2</v>
      </c>
      <c r="C72" s="22">
        <v>8.0070000000000002E-3</v>
      </c>
      <c r="D72" s="21">
        <v>2.2530000000000001E-2</v>
      </c>
      <c r="E72" s="22">
        <v>8.2959999999999996E-3</v>
      </c>
    </row>
    <row r="73" spans="1:5">
      <c r="A73" s="20">
        <v>69</v>
      </c>
      <c r="B73" s="21">
        <v>2.4924000000000002E-2</v>
      </c>
      <c r="C73" s="22">
        <v>9.0340000000000004E-3</v>
      </c>
      <c r="D73" s="21">
        <v>2.5065E-2</v>
      </c>
      <c r="E73" s="22">
        <v>9.1940000000000008E-3</v>
      </c>
    </row>
    <row r="74" spans="1:5">
      <c r="A74" s="20">
        <v>70</v>
      </c>
      <c r="B74" s="21">
        <v>2.7872999999999998E-2</v>
      </c>
      <c r="C74" s="22">
        <v>1.0291E-2</v>
      </c>
      <c r="D74" s="21">
        <v>2.7872999999999998E-2</v>
      </c>
      <c r="E74" s="22">
        <v>1.0291E-2</v>
      </c>
    </row>
    <row r="75" spans="1:5">
      <c r="A75" s="20">
        <v>71</v>
      </c>
      <c r="B75" s="21">
        <v>3.0984000000000001E-2</v>
      </c>
      <c r="C75" s="22">
        <v>1.2087000000000001E-2</v>
      </c>
      <c r="D75" s="21">
        <v>3.0828000000000001E-2</v>
      </c>
      <c r="E75" s="22">
        <v>1.1889E-2</v>
      </c>
    </row>
    <row r="76" spans="1:5">
      <c r="A76" s="20">
        <v>72</v>
      </c>
      <c r="B76" s="21">
        <v>3.4618000000000003E-2</v>
      </c>
      <c r="C76" s="22">
        <v>1.4083999999999999E-2</v>
      </c>
      <c r="D76" s="21">
        <v>3.4296E-2</v>
      </c>
      <c r="E76" s="22">
        <v>1.3646E-2</v>
      </c>
    </row>
    <row r="77" spans="1:5">
      <c r="A77" s="20">
        <v>73</v>
      </c>
      <c r="B77" s="21">
        <v>3.9137999999999999E-2</v>
      </c>
      <c r="C77" s="22">
        <v>1.6299000000000001E-2</v>
      </c>
      <c r="D77" s="21">
        <v>3.8646E-2</v>
      </c>
      <c r="E77" s="22">
        <v>1.5573999999999999E-2</v>
      </c>
    </row>
    <row r="78" spans="1:5">
      <c r="A78" s="20">
        <v>74</v>
      </c>
      <c r="B78" s="21">
        <v>4.403E-2</v>
      </c>
      <c r="C78" s="22">
        <v>1.8950000000000002E-2</v>
      </c>
      <c r="D78" s="21">
        <v>4.3368999999999998E-2</v>
      </c>
      <c r="E78" s="22">
        <v>1.7881999999999999E-2</v>
      </c>
    </row>
    <row r="79" spans="1:5">
      <c r="A79" s="20">
        <v>75</v>
      </c>
      <c r="B79" s="21">
        <v>4.9069000000000002E-2</v>
      </c>
      <c r="C79" s="22">
        <v>2.1999000000000001E-2</v>
      </c>
      <c r="D79" s="21">
        <v>4.8214E-2</v>
      </c>
      <c r="E79" s="22">
        <v>2.0521999999999999E-2</v>
      </c>
    </row>
    <row r="80" spans="1:5">
      <c r="A80" s="20">
        <v>76</v>
      </c>
      <c r="B80" s="21">
        <v>5.4401999999999999E-2</v>
      </c>
      <c r="C80" s="22">
        <v>2.5426000000000001E-2</v>
      </c>
      <c r="D80" s="21">
        <v>5.3333999999999999E-2</v>
      </c>
      <c r="E80" s="22">
        <v>2.3466000000000001E-2</v>
      </c>
    </row>
    <row r="81" spans="1:5">
      <c r="A81" s="20">
        <v>77</v>
      </c>
      <c r="B81" s="21">
        <v>6.0066000000000001E-2</v>
      </c>
      <c r="C81" s="22">
        <v>2.9368999999999999E-2</v>
      </c>
      <c r="D81" s="21">
        <v>5.8767E-2</v>
      </c>
      <c r="E81" s="22">
        <v>2.6845000000000001E-2</v>
      </c>
    </row>
    <row r="82" spans="1:5">
      <c r="A82" s="20">
        <v>78</v>
      </c>
      <c r="B82" s="21">
        <v>6.5698000000000006E-2</v>
      </c>
      <c r="C82" s="22">
        <v>3.3988999999999998E-2</v>
      </c>
      <c r="D82" s="21">
        <v>6.4103999999999994E-2</v>
      </c>
      <c r="E82" s="22">
        <v>3.0818000000000002E-2</v>
      </c>
    </row>
    <row r="83" spans="1:5">
      <c r="A83" s="20">
        <v>79</v>
      </c>
      <c r="B83" s="21">
        <v>7.0960999999999996E-2</v>
      </c>
      <c r="C83" s="22">
        <v>3.9334000000000001E-2</v>
      </c>
      <c r="D83" s="21">
        <v>6.8857000000000002E-2</v>
      </c>
      <c r="E83" s="22">
        <v>3.5438999999999998E-2</v>
      </c>
    </row>
    <row r="84" spans="1:5">
      <c r="A84" s="20">
        <v>80</v>
      </c>
      <c r="B84" s="21">
        <v>7.7577999999999994E-2</v>
      </c>
      <c r="C84" s="22">
        <v>4.5567000000000003E-2</v>
      </c>
      <c r="D84" s="21">
        <v>7.5003E-2</v>
      </c>
      <c r="E84" s="22">
        <v>4.088E-2</v>
      </c>
    </row>
    <row r="85" spans="1:5">
      <c r="A85" s="20">
        <v>81</v>
      </c>
      <c r="B85" s="21">
        <v>8.5150000000000003E-2</v>
      </c>
      <c r="C85" s="22">
        <v>5.2854999999999999E-2</v>
      </c>
      <c r="D85" s="21">
        <v>8.2123000000000002E-2</v>
      </c>
      <c r="E85" s="22">
        <v>4.7331999999999999E-2</v>
      </c>
    </row>
    <row r="86" spans="1:5">
      <c r="A86" s="20">
        <v>82</v>
      </c>
      <c r="B86" s="21">
        <v>9.2984999999999998E-2</v>
      </c>
      <c r="C86" s="22">
        <v>6.1274000000000002E-2</v>
      </c>
      <c r="D86" s="21">
        <v>8.9452000000000004E-2</v>
      </c>
      <c r="E86" s="22">
        <v>5.4890000000000001E-2</v>
      </c>
    </row>
    <row r="87" spans="1:5">
      <c r="A87" s="20">
        <v>83</v>
      </c>
      <c r="B87" s="21">
        <v>0.100797</v>
      </c>
      <c r="C87" s="22">
        <v>7.0805999999999994E-2</v>
      </c>
      <c r="D87" s="21">
        <v>9.6661999999999998E-2</v>
      </c>
      <c r="E87" s="22">
        <v>6.3557000000000002E-2</v>
      </c>
    </row>
    <row r="88" spans="1:5">
      <c r="A88" s="20">
        <v>84</v>
      </c>
      <c r="B88" s="21">
        <v>0.108483</v>
      </c>
      <c r="C88" s="22">
        <v>8.1295000000000006E-2</v>
      </c>
      <c r="D88" s="21">
        <v>0.103614</v>
      </c>
      <c r="E88" s="22">
        <v>7.3207999999999995E-2</v>
      </c>
    </row>
    <row r="89" spans="1:5">
      <c r="A89" s="20">
        <v>85</v>
      </c>
      <c r="B89" s="21">
        <v>0.11647200000000001</v>
      </c>
      <c r="C89" s="22">
        <v>9.2534000000000005E-2</v>
      </c>
      <c r="D89" s="21">
        <v>0.11067399999999999</v>
      </c>
      <c r="E89" s="22">
        <v>8.3628999999999995E-2</v>
      </c>
    </row>
    <row r="90" spans="1:5">
      <c r="A90" s="20">
        <v>86</v>
      </c>
      <c r="B90" s="21">
        <v>0.12548899999999999</v>
      </c>
      <c r="C90" s="22">
        <v>0.103852</v>
      </c>
      <c r="D90" s="21">
        <v>0.11883100000000001</v>
      </c>
      <c r="E90" s="22">
        <v>9.4214000000000006E-2</v>
      </c>
    </row>
    <row r="91" spans="1:5">
      <c r="A91" s="20">
        <v>87</v>
      </c>
      <c r="B91" s="21">
        <v>0.13506399999999999</v>
      </c>
      <c r="C91" s="22">
        <v>0.115687</v>
      </c>
      <c r="D91" s="21">
        <v>0.12736700000000001</v>
      </c>
      <c r="E91" s="22">
        <v>0.105352</v>
      </c>
    </row>
    <row r="92" spans="1:5">
      <c r="A92" s="20">
        <v>88</v>
      </c>
      <c r="B92" s="21">
        <v>0.14519599999999999</v>
      </c>
      <c r="C92" s="22">
        <v>0.12814800000000001</v>
      </c>
      <c r="D92" s="21">
        <v>0.136349</v>
      </c>
      <c r="E92" s="22">
        <v>0.117174</v>
      </c>
    </row>
    <row r="93" spans="1:5">
      <c r="A93" s="20">
        <v>89</v>
      </c>
      <c r="B93" s="21">
        <v>0.15595899999999999</v>
      </c>
      <c r="C93" s="22">
        <v>0.14124500000000001</v>
      </c>
      <c r="D93" s="21">
        <v>0.14587</v>
      </c>
      <c r="E93" s="22">
        <v>0.12970400000000001</v>
      </c>
    </row>
    <row r="94" spans="1:5">
      <c r="A94" s="20">
        <v>90</v>
      </c>
      <c r="B94" s="21">
        <v>0.167458</v>
      </c>
      <c r="C94" s="22">
        <v>0.15495500000000001</v>
      </c>
      <c r="D94" s="21">
        <v>0.156053</v>
      </c>
      <c r="E94" s="22">
        <v>0.14292099999999999</v>
      </c>
    </row>
    <row r="95" spans="1:5">
      <c r="A95" s="20">
        <v>91</v>
      </c>
      <c r="B95" s="21">
        <v>0.179812</v>
      </c>
      <c r="C95" s="22">
        <v>0.16925100000000001</v>
      </c>
      <c r="D95" s="21">
        <v>0.16700499999999999</v>
      </c>
      <c r="E95" s="22">
        <v>0.15670100000000001</v>
      </c>
    </row>
    <row r="96" spans="1:5">
      <c r="A96" s="20">
        <v>92</v>
      </c>
      <c r="B96" s="21">
        <v>0.193049</v>
      </c>
      <c r="C96" s="22">
        <v>0.18396100000000001</v>
      </c>
      <c r="D96" s="21">
        <v>0.178783</v>
      </c>
      <c r="E96" s="22">
        <v>0.17113800000000001</v>
      </c>
    </row>
    <row r="97" spans="1:5">
      <c r="A97" s="20">
        <v>93</v>
      </c>
      <c r="B97" s="21">
        <v>0.20707300000000001</v>
      </c>
      <c r="C97" s="22">
        <v>0.19884399999999999</v>
      </c>
      <c r="D97" s="21">
        <v>0.19125</v>
      </c>
      <c r="E97" s="22">
        <v>0.18562500000000001</v>
      </c>
    </row>
    <row r="98" spans="1:5">
      <c r="A98" s="20">
        <v>94</v>
      </c>
      <c r="B98" s="21">
        <v>0.22164800000000001</v>
      </c>
      <c r="C98" s="22">
        <v>0.21366399999999999</v>
      </c>
      <c r="D98" s="21">
        <v>0.20410300000000001</v>
      </c>
      <c r="E98" s="22">
        <v>0.19994799999999999</v>
      </c>
    </row>
    <row r="99" spans="1:5">
      <c r="A99" s="20">
        <v>95</v>
      </c>
      <c r="B99" s="21">
        <v>0.23639299999999999</v>
      </c>
      <c r="C99" s="22">
        <v>0.228073</v>
      </c>
      <c r="D99" s="21">
        <v>0.21684800000000001</v>
      </c>
      <c r="E99" s="22">
        <v>0.21362800000000001</v>
      </c>
    </row>
    <row r="100" spans="1:5">
      <c r="A100" s="20">
        <v>96</v>
      </c>
      <c r="B100" s="21">
        <v>0.24938199999999999</v>
      </c>
      <c r="C100" s="22">
        <v>0.24334700000000001</v>
      </c>
      <c r="D100" s="21">
        <v>0.22756499999999999</v>
      </c>
      <c r="E100" s="22">
        <v>0.22773299999999999</v>
      </c>
    </row>
    <row r="101" spans="1:5">
      <c r="A101" s="20">
        <v>97</v>
      </c>
      <c r="B101" s="21">
        <v>0.26180700000000001</v>
      </c>
      <c r="C101" s="22">
        <v>0.25798300000000002</v>
      </c>
      <c r="D101" s="21">
        <v>0.237257</v>
      </c>
      <c r="E101" s="22">
        <v>0.24073900000000001</v>
      </c>
    </row>
    <row r="102" spans="1:5">
      <c r="A102" s="20">
        <v>98</v>
      </c>
      <c r="B102" s="21">
        <v>0.273532</v>
      </c>
      <c r="C102" s="22">
        <v>0.27188400000000001</v>
      </c>
      <c r="D102" s="21">
        <v>0.24571999999999999</v>
      </c>
      <c r="E102" s="22">
        <v>0.25241400000000003</v>
      </c>
    </row>
    <row r="103" spans="1:5">
      <c r="A103" s="20">
        <v>99</v>
      </c>
      <c r="B103" s="21">
        <v>0.28447499999999998</v>
      </c>
      <c r="C103" s="22">
        <v>0.28487400000000002</v>
      </c>
      <c r="D103" s="21">
        <v>0.25282900000000003</v>
      </c>
      <c r="E103" s="22">
        <v>0.26263999999999998</v>
      </c>
    </row>
    <row r="104" spans="1:5">
      <c r="A104" s="23">
        <v>100</v>
      </c>
      <c r="B104" s="24">
        <v>1</v>
      </c>
      <c r="C104" s="25">
        <v>1</v>
      </c>
      <c r="D104" s="24">
        <v>1</v>
      </c>
      <c r="E104" s="25">
        <v>1</v>
      </c>
    </row>
  </sheetData>
  <mergeCells count="1">
    <mergeCell ref="A1:E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4"/>
  <sheetViews>
    <sheetView zoomScaleNormal="100" workbookViewId="0">
      <selection activeCell="D18" sqref="D18"/>
    </sheetView>
  </sheetViews>
  <sheetFormatPr baseColWidth="10" defaultColWidth="9.140625" defaultRowHeight="12.75"/>
  <cols>
    <col min="1" max="3" width="11.28515625" style="13"/>
    <col min="4" max="9" width="11.28515625"/>
    <col min="10" max="10" width="9"/>
    <col min="11" max="1025" width="11.28515625"/>
  </cols>
  <sheetData>
    <row r="1" spans="1:3" s="13" customFormat="1" ht="65.45" customHeight="1">
      <c r="A1" s="10" t="s">
        <v>10</v>
      </c>
      <c r="B1" s="10"/>
      <c r="C1" s="10"/>
    </row>
    <row r="2" spans="1:3">
      <c r="A2"/>
      <c r="B2"/>
      <c r="C2"/>
    </row>
    <row r="3" spans="1:3">
      <c r="A3" s="16" t="s">
        <v>11</v>
      </c>
      <c r="B3" s="16" t="s">
        <v>12</v>
      </c>
      <c r="C3" s="16" t="s">
        <v>13</v>
      </c>
    </row>
    <row r="4" spans="1:3">
      <c r="A4" s="23">
        <v>1920</v>
      </c>
      <c r="B4" s="26">
        <v>1</v>
      </c>
      <c r="C4" s="27">
        <v>2</v>
      </c>
    </row>
    <row r="5" spans="1:3">
      <c r="A5" s="20">
        <v>1921</v>
      </c>
      <c r="B5" s="28">
        <v>1</v>
      </c>
      <c r="C5" s="29">
        <v>2</v>
      </c>
    </row>
    <row r="6" spans="1:3">
      <c r="A6" s="20">
        <v>1922</v>
      </c>
      <c r="B6" s="28">
        <v>1</v>
      </c>
      <c r="C6" s="29">
        <v>2</v>
      </c>
    </row>
    <row r="7" spans="1:3">
      <c r="A7" s="20">
        <v>1923</v>
      </c>
      <c r="B7" s="28">
        <v>1</v>
      </c>
      <c r="C7" s="29">
        <v>2</v>
      </c>
    </row>
    <row r="8" spans="1:3">
      <c r="A8" s="20">
        <v>1924</v>
      </c>
      <c r="B8" s="28">
        <v>1</v>
      </c>
      <c r="C8" s="29">
        <v>2</v>
      </c>
    </row>
    <row r="9" spans="1:3">
      <c r="A9" s="20">
        <v>1925</v>
      </c>
      <c r="B9" s="28">
        <v>1</v>
      </c>
      <c r="C9" s="29">
        <v>2</v>
      </c>
    </row>
    <row r="10" spans="1:3">
      <c r="A10" s="20">
        <v>1926</v>
      </c>
      <c r="B10" s="28">
        <v>1</v>
      </c>
      <c r="C10" s="29">
        <v>2</v>
      </c>
    </row>
    <row r="11" spans="1:3">
      <c r="A11" s="20">
        <v>1927</v>
      </c>
      <c r="B11" s="28">
        <v>1</v>
      </c>
      <c r="C11" s="29">
        <v>2</v>
      </c>
    </row>
    <row r="12" spans="1:3">
      <c r="A12" s="20">
        <v>1928</v>
      </c>
      <c r="B12" s="28">
        <v>1</v>
      </c>
      <c r="C12" s="29">
        <v>2</v>
      </c>
    </row>
    <row r="13" spans="1:3">
      <c r="A13" s="20">
        <v>1929</v>
      </c>
      <c r="B13" s="28">
        <v>1</v>
      </c>
      <c r="C13" s="29">
        <v>2</v>
      </c>
    </row>
    <row r="14" spans="1:3">
      <c r="A14" s="20">
        <v>1930</v>
      </c>
      <c r="B14" s="28">
        <v>1</v>
      </c>
      <c r="C14" s="29">
        <v>2</v>
      </c>
    </row>
    <row r="15" spans="1:3">
      <c r="A15" s="20">
        <v>1931</v>
      </c>
      <c r="B15" s="28">
        <v>1</v>
      </c>
      <c r="C15" s="29">
        <v>2</v>
      </c>
    </row>
    <row r="16" spans="1:3">
      <c r="A16" s="20">
        <v>1932</v>
      </c>
      <c r="B16" s="28">
        <v>1</v>
      </c>
      <c r="C16" s="29">
        <v>2</v>
      </c>
    </row>
    <row r="17" spans="1:3">
      <c r="A17" s="20">
        <v>1933</v>
      </c>
      <c r="B17" s="28">
        <v>1</v>
      </c>
      <c r="C17" s="29">
        <v>2</v>
      </c>
    </row>
    <row r="18" spans="1:3">
      <c r="A18" s="20">
        <v>1934</v>
      </c>
      <c r="B18" s="28">
        <v>1</v>
      </c>
      <c r="C18" s="29">
        <v>2</v>
      </c>
    </row>
    <row r="19" spans="1:3">
      <c r="A19" s="20">
        <v>1935</v>
      </c>
      <c r="B19" s="28">
        <v>1</v>
      </c>
      <c r="C19" s="29">
        <v>1</v>
      </c>
    </row>
    <row r="20" spans="1:3">
      <c r="A20" s="20">
        <v>1936</v>
      </c>
      <c r="B20" s="28">
        <v>1</v>
      </c>
      <c r="C20" s="29">
        <v>1</v>
      </c>
    </row>
    <row r="21" spans="1:3">
      <c r="A21" s="20">
        <v>1937</v>
      </c>
      <c r="B21" s="28">
        <v>1</v>
      </c>
      <c r="C21" s="29">
        <v>1</v>
      </c>
    </row>
    <row r="22" spans="1:3">
      <c r="A22" s="20">
        <v>1938</v>
      </c>
      <c r="B22" s="28">
        <v>1</v>
      </c>
      <c r="C22" s="29">
        <v>1</v>
      </c>
    </row>
    <row r="23" spans="1:3">
      <c r="A23" s="20">
        <v>1939</v>
      </c>
      <c r="B23" s="28">
        <v>1</v>
      </c>
      <c r="C23" s="29">
        <v>1</v>
      </c>
    </row>
    <row r="24" spans="1:3">
      <c r="A24" s="20">
        <v>1940</v>
      </c>
      <c r="B24" s="28">
        <v>1</v>
      </c>
      <c r="C24" s="29">
        <v>1</v>
      </c>
    </row>
    <row r="25" spans="1:3">
      <c r="A25" s="20">
        <v>1941</v>
      </c>
      <c r="B25" s="28">
        <v>0</v>
      </c>
      <c r="C25" s="29">
        <v>1</v>
      </c>
    </row>
    <row r="26" spans="1:3">
      <c r="A26" s="20">
        <v>1942</v>
      </c>
      <c r="B26" s="28">
        <v>0</v>
      </c>
      <c r="C26" s="29">
        <v>1</v>
      </c>
    </row>
    <row r="27" spans="1:3">
      <c r="A27" s="20">
        <v>1943</v>
      </c>
      <c r="B27" s="28">
        <v>0</v>
      </c>
      <c r="C27" s="29">
        <v>1</v>
      </c>
    </row>
    <row r="28" spans="1:3">
      <c r="A28" s="20">
        <v>1944</v>
      </c>
      <c r="B28" s="28">
        <v>0</v>
      </c>
      <c r="C28" s="29">
        <v>1</v>
      </c>
    </row>
    <row r="29" spans="1:3">
      <c r="A29" s="20">
        <v>1945</v>
      </c>
      <c r="B29" s="28">
        <v>0</v>
      </c>
      <c r="C29" s="29">
        <v>0</v>
      </c>
    </row>
    <row r="30" spans="1:3">
      <c r="A30" s="20">
        <v>1946</v>
      </c>
      <c r="B30" s="28">
        <v>0</v>
      </c>
      <c r="C30" s="29">
        <v>0</v>
      </c>
    </row>
    <row r="31" spans="1:3">
      <c r="A31" s="20">
        <v>1947</v>
      </c>
      <c r="B31" s="28">
        <v>0</v>
      </c>
      <c r="C31" s="29">
        <v>0</v>
      </c>
    </row>
    <row r="32" spans="1:3">
      <c r="A32" s="20">
        <v>1948</v>
      </c>
      <c r="B32" s="28">
        <v>0</v>
      </c>
      <c r="C32" s="29">
        <v>0</v>
      </c>
    </row>
    <row r="33" spans="1:3">
      <c r="A33" s="20">
        <v>1949</v>
      </c>
      <c r="B33" s="28">
        <v>0</v>
      </c>
      <c r="C33" s="29">
        <v>0</v>
      </c>
    </row>
    <row r="34" spans="1:3">
      <c r="A34" s="20">
        <v>1950</v>
      </c>
      <c r="B34" s="28">
        <v>0</v>
      </c>
      <c r="C34" s="29">
        <v>0</v>
      </c>
    </row>
    <row r="35" spans="1:3">
      <c r="A35" s="20">
        <v>1951</v>
      </c>
      <c r="B35" s="28">
        <v>0</v>
      </c>
      <c r="C35" s="29">
        <v>0</v>
      </c>
    </row>
    <row r="36" spans="1:3">
      <c r="A36" s="20">
        <v>1952</v>
      </c>
      <c r="B36" s="28">
        <v>0</v>
      </c>
      <c r="C36" s="29">
        <v>0</v>
      </c>
    </row>
    <row r="37" spans="1:3">
      <c r="A37" s="20">
        <v>1953</v>
      </c>
      <c r="B37" s="28">
        <v>0</v>
      </c>
      <c r="C37" s="29">
        <v>0</v>
      </c>
    </row>
    <row r="38" spans="1:3">
      <c r="A38" s="20">
        <v>1954</v>
      </c>
      <c r="B38" s="28">
        <v>0</v>
      </c>
      <c r="C38" s="29">
        <v>0</v>
      </c>
    </row>
    <row r="39" spans="1:3">
      <c r="A39" s="20">
        <v>1955</v>
      </c>
      <c r="B39" s="28">
        <v>0</v>
      </c>
      <c r="C39" s="29">
        <v>0</v>
      </c>
    </row>
    <row r="40" spans="1:3">
      <c r="A40" s="20">
        <v>1956</v>
      </c>
      <c r="B40" s="28">
        <v>0</v>
      </c>
      <c r="C40" s="29">
        <v>-1</v>
      </c>
    </row>
    <row r="41" spans="1:3">
      <c r="A41" s="20">
        <v>1957</v>
      </c>
      <c r="B41" s="28">
        <v>0</v>
      </c>
      <c r="C41" s="29">
        <v>-1</v>
      </c>
    </row>
    <row r="42" spans="1:3">
      <c r="A42" s="20">
        <v>1958</v>
      </c>
      <c r="B42" s="28">
        <v>0</v>
      </c>
      <c r="C42" s="29">
        <v>-1</v>
      </c>
    </row>
    <row r="43" spans="1:3">
      <c r="A43" s="20">
        <v>1959</v>
      </c>
      <c r="B43" s="28">
        <v>0</v>
      </c>
      <c r="C43" s="29">
        <v>-1</v>
      </c>
    </row>
    <row r="44" spans="1:3">
      <c r="A44" s="20">
        <v>1960</v>
      </c>
      <c r="B44" s="28">
        <v>-1</v>
      </c>
      <c r="C44" s="29">
        <v>-1</v>
      </c>
    </row>
    <row r="45" spans="1:3">
      <c r="A45" s="20">
        <v>1961</v>
      </c>
      <c r="B45" s="28">
        <v>-1</v>
      </c>
      <c r="C45" s="29">
        <v>-1</v>
      </c>
    </row>
    <row r="46" spans="1:3">
      <c r="A46" s="20">
        <v>1962</v>
      </c>
      <c r="B46" s="28">
        <v>-1</v>
      </c>
      <c r="C46" s="29">
        <v>-1</v>
      </c>
    </row>
    <row r="47" spans="1:3">
      <c r="A47" s="20">
        <v>1963</v>
      </c>
      <c r="B47" s="28">
        <v>-1</v>
      </c>
      <c r="C47" s="29">
        <v>-1</v>
      </c>
    </row>
    <row r="48" spans="1:3">
      <c r="A48" s="20">
        <v>1964</v>
      </c>
      <c r="B48" s="28">
        <v>-1</v>
      </c>
      <c r="C48" s="29">
        <v>-1</v>
      </c>
    </row>
    <row r="49" spans="1:3">
      <c r="A49" s="20">
        <v>1965</v>
      </c>
      <c r="B49" s="28">
        <v>-1</v>
      </c>
      <c r="C49" s="29">
        <v>-1</v>
      </c>
    </row>
    <row r="50" spans="1:3">
      <c r="A50" s="20">
        <v>1966</v>
      </c>
      <c r="B50" s="28">
        <v>-1</v>
      </c>
      <c r="C50" s="29">
        <v>-1</v>
      </c>
    </row>
    <row r="51" spans="1:3">
      <c r="A51" s="20">
        <v>1967</v>
      </c>
      <c r="B51" s="28">
        <v>-1</v>
      </c>
      <c r="C51" s="29">
        <v>-1</v>
      </c>
    </row>
    <row r="52" spans="1:3">
      <c r="A52" s="20">
        <v>1968</v>
      </c>
      <c r="B52" s="28">
        <v>-1</v>
      </c>
      <c r="C52" s="29">
        <v>-2</v>
      </c>
    </row>
    <row r="53" spans="1:3">
      <c r="A53" s="20">
        <v>1969</v>
      </c>
      <c r="B53" s="28">
        <v>-1</v>
      </c>
      <c r="C53" s="29">
        <v>-2</v>
      </c>
    </row>
    <row r="54" spans="1:3">
      <c r="A54" s="17">
        <v>1970</v>
      </c>
      <c r="B54" s="30">
        <v>-1</v>
      </c>
      <c r="C54" s="31">
        <v>-2</v>
      </c>
    </row>
  </sheetData>
  <mergeCells count="1">
    <mergeCell ref="A1:C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Roman,Standard"&amp;12&amp;A</oddHeader>
    <oddFooter>&amp;C&amp;"Times New Roman,Standard"&amp;12Seite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W104"/>
  <sheetViews>
    <sheetView zoomScaleNormal="100" workbookViewId="0">
      <selection activeCell="H1" sqref="H1"/>
    </sheetView>
  </sheetViews>
  <sheetFormatPr baseColWidth="10" defaultColWidth="9.140625" defaultRowHeight="12.75"/>
  <cols>
    <col min="1" max="1" width="8" style="13"/>
    <col min="2" max="5" width="14" style="13"/>
    <col min="6" max="257" width="11.28515625" style="13"/>
    <col min="258" max="1025" width="11.28515625"/>
  </cols>
  <sheetData>
    <row r="1" spans="1:8" ht="33.4" customHeight="1">
      <c r="A1" s="11" t="s">
        <v>4</v>
      </c>
      <c r="B1" s="11"/>
      <c r="C1" s="11"/>
      <c r="D1" s="11"/>
      <c r="E1" s="11"/>
      <c r="F1" s="13" t="s">
        <v>14</v>
      </c>
      <c r="G1" s="32">
        <v>1977</v>
      </c>
      <c r="H1"/>
    </row>
    <row r="2" spans="1:8">
      <c r="A2"/>
      <c r="B2"/>
      <c r="C2"/>
      <c r="D2"/>
      <c r="E2"/>
      <c r="F2" s="13" t="s">
        <v>15</v>
      </c>
      <c r="G2" s="13">
        <f>VLOOKUP($G$1,'EROM-F G AV'!$A$4:$C$54,2)</f>
        <v>-1</v>
      </c>
      <c r="H2" s="13">
        <f>VLOOKUP($G$1,'EROM-F G AV'!$A$4:$C$54,3)</f>
        <v>-2</v>
      </c>
    </row>
    <row r="3" spans="1:8">
      <c r="A3" s="16" t="s">
        <v>5</v>
      </c>
      <c r="B3" s="16" t="s">
        <v>6</v>
      </c>
      <c r="C3" s="16" t="s">
        <v>7</v>
      </c>
      <c r="D3" s="16" t="s">
        <v>8</v>
      </c>
      <c r="E3" s="16" t="s">
        <v>9</v>
      </c>
      <c r="F3" s="16" t="s">
        <v>5</v>
      </c>
      <c r="G3" s="16" t="s">
        <v>16</v>
      </c>
      <c r="H3" s="16" t="s">
        <v>17</v>
      </c>
    </row>
    <row r="4" spans="1:8">
      <c r="A4" s="17">
        <v>0</v>
      </c>
      <c r="B4" s="18">
        <v>1.555E-3</v>
      </c>
      <c r="C4" s="19">
        <v>1.1609999999999999E-3</v>
      </c>
      <c r="D4" s="18">
        <v>5.6384999999999998E-2</v>
      </c>
      <c r="E4" s="19">
        <v>4.9623E-2</v>
      </c>
      <c r="F4" s="17">
        <v>0</v>
      </c>
      <c r="G4" s="13" t="str">
        <f t="array" aca="1" ref="G4:G104" ca="1">OFFSET(D$4:D$104,G2,0)</f>
        <v>EROM G1950</v>
      </c>
      <c r="H4" s="13">
        <f t="array" aca="1" ref="H4:H104" ca="1">OFFSET(E$4:E$104,H2,0)</f>
        <v>0</v>
      </c>
    </row>
    <row r="5" spans="1:8">
      <c r="A5" s="20">
        <v>1</v>
      </c>
      <c r="B5" s="21">
        <v>1.0399999999999999E-4</v>
      </c>
      <c r="C5" s="22">
        <v>7.6000000000000004E-5</v>
      </c>
      <c r="D5" s="21">
        <v>3.9740000000000001E-3</v>
      </c>
      <c r="E5" s="22">
        <v>3.9649999999999998E-3</v>
      </c>
      <c r="F5" s="20">
        <v>1</v>
      </c>
      <c r="G5" s="13">
        <f ca="1"/>
        <v>5.6384999999999998E-2</v>
      </c>
      <c r="H5" s="13" t="str">
        <f ca="1"/>
        <v>EROF G1950</v>
      </c>
    </row>
    <row r="6" spans="1:8">
      <c r="A6" s="20">
        <v>2</v>
      </c>
      <c r="B6" s="21">
        <v>6.6000000000000005E-5</v>
      </c>
      <c r="C6" s="22">
        <v>4.3999999999999999E-5</v>
      </c>
      <c r="D6" s="21">
        <v>1.9220000000000001E-3</v>
      </c>
      <c r="E6" s="22">
        <v>2.1970000000000002E-3</v>
      </c>
      <c r="F6" s="20">
        <v>2</v>
      </c>
      <c r="G6" s="13">
        <f ca="1"/>
        <v>3.9740000000000001E-3</v>
      </c>
      <c r="H6" s="13">
        <f ca="1"/>
        <v>4.9623E-2</v>
      </c>
    </row>
    <row r="7" spans="1:8">
      <c r="A7" s="20">
        <v>3</v>
      </c>
      <c r="B7" s="21">
        <v>6.3999999999999997E-5</v>
      </c>
      <c r="C7" s="22">
        <v>4.3999999999999999E-5</v>
      </c>
      <c r="D7" s="21">
        <v>1.4480000000000001E-3</v>
      </c>
      <c r="E7" s="22">
        <v>1.5709999999999999E-3</v>
      </c>
      <c r="F7" s="20">
        <v>3</v>
      </c>
      <c r="G7" s="13">
        <f ca="1"/>
        <v>1.9220000000000001E-3</v>
      </c>
      <c r="H7" s="13">
        <f ca="1"/>
        <v>3.9649999999999998E-3</v>
      </c>
    </row>
    <row r="8" spans="1:8">
      <c r="A8" s="20">
        <v>4</v>
      </c>
      <c r="B8" s="21">
        <v>6.0999999999999999E-5</v>
      </c>
      <c r="C8" s="22">
        <v>4.3000000000000002E-5</v>
      </c>
      <c r="D8" s="21">
        <v>1.1019999999999999E-3</v>
      </c>
      <c r="E8" s="22">
        <v>1.1230000000000001E-3</v>
      </c>
      <c r="F8" s="20">
        <v>4</v>
      </c>
      <c r="G8" s="13">
        <f ca="1"/>
        <v>1.4480000000000001E-3</v>
      </c>
      <c r="H8" s="13">
        <f ca="1"/>
        <v>2.1970000000000002E-3</v>
      </c>
    </row>
    <row r="9" spans="1:8">
      <c r="A9" s="20">
        <v>5</v>
      </c>
      <c r="B9" s="21">
        <v>5.8999999999999998E-5</v>
      </c>
      <c r="C9" s="22">
        <v>4.6E-5</v>
      </c>
      <c r="D9" s="21">
        <v>8.5499999999999997E-4</v>
      </c>
      <c r="E9" s="22">
        <v>8.1099999999999998E-4</v>
      </c>
      <c r="F9" s="20">
        <v>5</v>
      </c>
      <c r="G9" s="13">
        <f ca="1"/>
        <v>1.1019999999999999E-3</v>
      </c>
      <c r="H9" s="13">
        <f ca="1"/>
        <v>1.5709999999999999E-3</v>
      </c>
    </row>
    <row r="10" spans="1:8">
      <c r="A10" s="20">
        <v>6</v>
      </c>
      <c r="B10" s="21">
        <v>6.2000000000000003E-5</v>
      </c>
      <c r="C10" s="22">
        <v>5.1999999999999997E-5</v>
      </c>
      <c r="D10" s="21">
        <v>6.8300000000000001E-4</v>
      </c>
      <c r="E10" s="22">
        <v>6.0700000000000001E-4</v>
      </c>
      <c r="F10" s="20">
        <v>6</v>
      </c>
      <c r="G10" s="13">
        <f ca="1"/>
        <v>8.5499999999999997E-4</v>
      </c>
      <c r="H10" s="13">
        <f ca="1"/>
        <v>1.1230000000000001E-3</v>
      </c>
    </row>
    <row r="11" spans="1:8">
      <c r="A11" s="20">
        <v>7</v>
      </c>
      <c r="B11" s="21">
        <v>6.7000000000000002E-5</v>
      </c>
      <c r="C11" s="22">
        <v>5.1999999999999997E-5</v>
      </c>
      <c r="D11" s="21">
        <v>5.6800000000000004E-4</v>
      </c>
      <c r="E11" s="22">
        <v>4.7199999999999998E-4</v>
      </c>
      <c r="F11" s="20">
        <v>7</v>
      </c>
      <c r="G11" s="13">
        <f ca="1"/>
        <v>6.8300000000000001E-4</v>
      </c>
      <c r="H11" s="13">
        <f ca="1"/>
        <v>8.1099999999999998E-4</v>
      </c>
    </row>
    <row r="12" spans="1:8">
      <c r="A12" s="20">
        <v>8</v>
      </c>
      <c r="B12" s="21">
        <v>6.8999999999999997E-5</v>
      </c>
      <c r="C12" s="22">
        <v>4.1E-5</v>
      </c>
      <c r="D12" s="21">
        <v>4.8899999999999996E-4</v>
      </c>
      <c r="E12" s="22">
        <v>3.88E-4</v>
      </c>
      <c r="F12" s="20">
        <v>8</v>
      </c>
      <c r="G12" s="13">
        <f ca="1"/>
        <v>5.6800000000000004E-4</v>
      </c>
      <c r="H12" s="13">
        <f ca="1"/>
        <v>6.0700000000000001E-4</v>
      </c>
    </row>
    <row r="13" spans="1:8">
      <c r="A13" s="20">
        <v>9</v>
      </c>
      <c r="B13" s="21">
        <v>5.8E-5</v>
      </c>
      <c r="C13" s="22">
        <v>3.4999999999999997E-5</v>
      </c>
      <c r="D13" s="21">
        <v>4.4499999999999997E-4</v>
      </c>
      <c r="E13" s="22">
        <v>3.4600000000000001E-4</v>
      </c>
      <c r="F13" s="20">
        <v>9</v>
      </c>
      <c r="G13" s="13">
        <f ca="1"/>
        <v>4.8899999999999996E-4</v>
      </c>
      <c r="H13" s="13">
        <f ca="1"/>
        <v>4.7199999999999998E-4</v>
      </c>
    </row>
    <row r="14" spans="1:8">
      <c r="A14" s="20">
        <v>10</v>
      </c>
      <c r="B14" s="21">
        <v>5.1E-5</v>
      </c>
      <c r="C14" s="22">
        <v>3.4E-5</v>
      </c>
      <c r="D14" s="21">
        <v>4.17E-4</v>
      </c>
      <c r="E14" s="22">
        <v>3.2699999999999998E-4</v>
      </c>
      <c r="F14" s="20">
        <v>10</v>
      </c>
      <c r="G14" s="13">
        <f ca="1"/>
        <v>4.4499999999999997E-4</v>
      </c>
      <c r="H14" s="13">
        <f ca="1"/>
        <v>3.88E-4</v>
      </c>
    </row>
    <row r="15" spans="1:8">
      <c r="A15" s="20">
        <v>11</v>
      </c>
      <c r="B15" s="21">
        <v>4.6999999999999997E-5</v>
      </c>
      <c r="C15" s="22">
        <v>3.6000000000000001E-5</v>
      </c>
      <c r="D15" s="21">
        <v>4.0200000000000001E-4</v>
      </c>
      <c r="E15" s="22">
        <v>3.1799999999999998E-4</v>
      </c>
      <c r="F15" s="20">
        <v>11</v>
      </c>
      <c r="G15" s="13">
        <f ca="1"/>
        <v>4.17E-4</v>
      </c>
      <c r="H15" s="13">
        <f ca="1"/>
        <v>3.4600000000000001E-4</v>
      </c>
    </row>
    <row r="16" spans="1:8">
      <c r="A16" s="20">
        <v>12</v>
      </c>
      <c r="B16" s="21">
        <v>5.3999999999999998E-5</v>
      </c>
      <c r="C16" s="22">
        <v>4.0000000000000003E-5</v>
      </c>
      <c r="D16" s="21">
        <v>4.1399999999999998E-4</v>
      </c>
      <c r="E16" s="22">
        <v>3.2899999999999997E-4</v>
      </c>
      <c r="F16" s="20">
        <v>12</v>
      </c>
      <c r="G16" s="13">
        <f ca="1"/>
        <v>4.0200000000000001E-4</v>
      </c>
      <c r="H16" s="13">
        <f ca="1"/>
        <v>3.2699999999999998E-4</v>
      </c>
    </row>
    <row r="17" spans="1:8">
      <c r="A17" s="20">
        <v>13</v>
      </c>
      <c r="B17" s="21">
        <v>7.4999999999999993E-5</v>
      </c>
      <c r="C17" s="22">
        <v>4.8999999999999998E-5</v>
      </c>
      <c r="D17" s="21">
        <v>4.57E-4</v>
      </c>
      <c r="E17" s="22">
        <v>3.57E-4</v>
      </c>
      <c r="F17" s="20">
        <v>13</v>
      </c>
      <c r="G17" s="13">
        <f ca="1"/>
        <v>4.1399999999999998E-4</v>
      </c>
      <c r="H17" s="13">
        <f ca="1"/>
        <v>3.1799999999999998E-4</v>
      </c>
    </row>
    <row r="18" spans="1:8">
      <c r="A18" s="20">
        <v>14</v>
      </c>
      <c r="B18" s="21">
        <v>1.2E-4</v>
      </c>
      <c r="C18" s="22">
        <v>7.3999999999999996E-5</v>
      </c>
      <c r="D18" s="21">
        <v>5.3300000000000005E-4</v>
      </c>
      <c r="E18" s="22">
        <v>4.0999999999999999E-4</v>
      </c>
      <c r="F18" s="20">
        <v>14</v>
      </c>
      <c r="G18" s="13">
        <f ca="1"/>
        <v>4.57E-4</v>
      </c>
      <c r="H18" s="13">
        <f ca="1"/>
        <v>3.2899999999999997E-4</v>
      </c>
    </row>
    <row r="19" spans="1:8">
      <c r="A19" s="20">
        <v>15</v>
      </c>
      <c r="B19" s="21">
        <v>2.8800000000000001E-4</v>
      </c>
      <c r="C19" s="22">
        <v>1.26E-4</v>
      </c>
      <c r="D19" s="21">
        <v>6.9999999999999999E-4</v>
      </c>
      <c r="E19" s="22">
        <v>4.8799999999999999E-4</v>
      </c>
      <c r="F19" s="20">
        <v>15</v>
      </c>
      <c r="G19" s="13">
        <f ca="1"/>
        <v>5.3300000000000005E-4</v>
      </c>
      <c r="H19" s="13">
        <f ca="1"/>
        <v>3.57E-4</v>
      </c>
    </row>
    <row r="20" spans="1:8">
      <c r="A20" s="20">
        <v>16</v>
      </c>
      <c r="B20" s="21">
        <v>7.0699999999999995E-4</v>
      </c>
      <c r="C20" s="22">
        <v>1.76E-4</v>
      </c>
      <c r="D20" s="21">
        <v>9.59E-4</v>
      </c>
      <c r="E20" s="22">
        <v>5.6099999999999998E-4</v>
      </c>
      <c r="F20" s="20">
        <v>16</v>
      </c>
      <c r="G20" s="13">
        <f ca="1"/>
        <v>6.9999999999999999E-4</v>
      </c>
      <c r="H20" s="13">
        <f ca="1"/>
        <v>4.0999999999999999E-4</v>
      </c>
    </row>
    <row r="21" spans="1:8">
      <c r="A21" s="20">
        <v>17</v>
      </c>
      <c r="B21" s="21">
        <v>1.1919999999999999E-3</v>
      </c>
      <c r="C21" s="22">
        <v>1.7799999999999999E-4</v>
      </c>
      <c r="D21" s="21">
        <v>1.2260000000000001E-3</v>
      </c>
      <c r="E21" s="22">
        <v>5.9900000000000003E-4</v>
      </c>
      <c r="F21" s="20">
        <v>17</v>
      </c>
      <c r="G21" s="13">
        <f ca="1"/>
        <v>9.59E-4</v>
      </c>
      <c r="H21" s="13">
        <f ca="1"/>
        <v>4.8799999999999999E-4</v>
      </c>
    </row>
    <row r="22" spans="1:8">
      <c r="A22" s="20">
        <v>18</v>
      </c>
      <c r="B22" s="21">
        <v>1.506E-3</v>
      </c>
      <c r="C22" s="22">
        <v>1.63E-4</v>
      </c>
      <c r="D22" s="21">
        <v>1.4450000000000001E-3</v>
      </c>
      <c r="E22" s="22">
        <v>6.1300000000000005E-4</v>
      </c>
      <c r="F22" s="20">
        <v>18</v>
      </c>
      <c r="G22" s="13">
        <f ca="1"/>
        <v>1.2260000000000001E-3</v>
      </c>
      <c r="H22" s="13">
        <f ca="1"/>
        <v>5.6099999999999998E-4</v>
      </c>
    </row>
    <row r="23" spans="1:8">
      <c r="A23" s="20">
        <v>19</v>
      </c>
      <c r="B23" s="21">
        <v>1.426E-3</v>
      </c>
      <c r="C23" s="22">
        <v>1.44E-4</v>
      </c>
      <c r="D23" s="21">
        <v>1.544E-3</v>
      </c>
      <c r="E23" s="22">
        <v>6.1399999999999996E-4</v>
      </c>
      <c r="F23" s="20">
        <v>19</v>
      </c>
      <c r="G23" s="13">
        <f ca="1"/>
        <v>1.4450000000000001E-3</v>
      </c>
      <c r="H23" s="13">
        <f ca="1"/>
        <v>5.9900000000000003E-4</v>
      </c>
    </row>
    <row r="24" spans="1:8">
      <c r="A24" s="20">
        <v>20</v>
      </c>
      <c r="B24" s="21">
        <v>1.201E-3</v>
      </c>
      <c r="C24" s="22">
        <v>1.2300000000000001E-4</v>
      </c>
      <c r="D24" s="21">
        <v>1.5460000000000001E-3</v>
      </c>
      <c r="E24" s="22">
        <v>5.9999999999999995E-4</v>
      </c>
      <c r="F24" s="20">
        <v>20</v>
      </c>
      <c r="G24" s="13">
        <f ca="1"/>
        <v>1.544E-3</v>
      </c>
      <c r="H24" s="13">
        <f ca="1"/>
        <v>6.1300000000000005E-4</v>
      </c>
    </row>
    <row r="25" spans="1:8">
      <c r="A25" s="20">
        <v>21</v>
      </c>
      <c r="B25" s="21">
        <v>1.0139999999999999E-3</v>
      </c>
      <c r="C25" s="22">
        <v>1.0900000000000001E-4</v>
      </c>
      <c r="D25" s="21">
        <v>1.493E-3</v>
      </c>
      <c r="E25" s="22">
        <v>5.8E-4</v>
      </c>
      <c r="F25" s="20">
        <v>21</v>
      </c>
      <c r="G25" s="13">
        <f ca="1"/>
        <v>1.5460000000000001E-3</v>
      </c>
      <c r="H25" s="13">
        <f ca="1"/>
        <v>6.1399999999999996E-4</v>
      </c>
    </row>
    <row r="26" spans="1:8">
      <c r="A26" s="20">
        <v>22</v>
      </c>
      <c r="B26" s="21">
        <v>9.0499999999999999E-4</v>
      </c>
      <c r="C26" s="22">
        <v>1.03E-4</v>
      </c>
      <c r="D26" s="21">
        <v>1.4289999999999999E-3</v>
      </c>
      <c r="E26" s="22">
        <v>5.6700000000000001E-4</v>
      </c>
      <c r="F26" s="20">
        <v>22</v>
      </c>
      <c r="G26" s="13">
        <f ca="1"/>
        <v>1.493E-3</v>
      </c>
      <c r="H26" s="13">
        <f ca="1"/>
        <v>5.9999999999999995E-4</v>
      </c>
    </row>
    <row r="27" spans="1:8">
      <c r="A27" s="20">
        <v>23</v>
      </c>
      <c r="B27" s="21">
        <v>8.4099999999999995E-4</v>
      </c>
      <c r="C27" s="22">
        <v>1.01E-4</v>
      </c>
      <c r="D27" s="21">
        <v>1.3699999999999999E-3</v>
      </c>
      <c r="E27" s="22">
        <v>5.5900000000000004E-4</v>
      </c>
      <c r="F27" s="20">
        <v>23</v>
      </c>
      <c r="G27" s="13">
        <f ca="1"/>
        <v>1.4289999999999999E-3</v>
      </c>
      <c r="H27" s="13">
        <f ca="1"/>
        <v>5.8E-4</v>
      </c>
    </row>
    <row r="28" spans="1:8">
      <c r="A28" s="20">
        <v>24</v>
      </c>
      <c r="B28" s="21">
        <v>8.0400000000000003E-4</v>
      </c>
      <c r="C28" s="22">
        <v>1.01E-4</v>
      </c>
      <c r="D28" s="21">
        <v>1.32E-3</v>
      </c>
      <c r="E28" s="22">
        <v>5.4799999999999998E-4</v>
      </c>
      <c r="F28" s="20">
        <v>24</v>
      </c>
      <c r="G28" s="13">
        <f ca="1"/>
        <v>1.3699999999999999E-3</v>
      </c>
      <c r="H28" s="13">
        <f ca="1"/>
        <v>5.6700000000000001E-4</v>
      </c>
    </row>
    <row r="29" spans="1:8">
      <c r="A29" s="20">
        <v>25</v>
      </c>
      <c r="B29" s="21">
        <v>7.7099999999999998E-4</v>
      </c>
      <c r="C29" s="22">
        <v>9.8999999999999994E-5</v>
      </c>
      <c r="D29" s="21">
        <v>1.286E-3</v>
      </c>
      <c r="E29" s="22">
        <v>5.3799999999999996E-4</v>
      </c>
      <c r="F29" s="20">
        <v>25</v>
      </c>
      <c r="G29" s="13">
        <f ca="1"/>
        <v>1.32E-3</v>
      </c>
      <c r="H29" s="13">
        <f ca="1"/>
        <v>5.5900000000000004E-4</v>
      </c>
    </row>
    <row r="30" spans="1:8">
      <c r="A30" s="20">
        <v>26</v>
      </c>
      <c r="B30" s="21">
        <v>7.5100000000000004E-4</v>
      </c>
      <c r="C30" s="22">
        <v>1.02E-4</v>
      </c>
      <c r="D30" s="21">
        <v>1.2700000000000001E-3</v>
      </c>
      <c r="E30" s="22">
        <v>5.31E-4</v>
      </c>
      <c r="F30" s="20">
        <v>26</v>
      </c>
      <c r="G30" s="13">
        <f ca="1"/>
        <v>1.286E-3</v>
      </c>
      <c r="H30" s="13">
        <f ca="1"/>
        <v>5.4799999999999998E-4</v>
      </c>
    </row>
    <row r="31" spans="1:8">
      <c r="A31" s="20">
        <v>27</v>
      </c>
      <c r="B31" s="21">
        <v>7.3800000000000005E-4</v>
      </c>
      <c r="C31" s="22">
        <v>1.07E-4</v>
      </c>
      <c r="D31" s="21">
        <v>1.2600000000000001E-3</v>
      </c>
      <c r="E31" s="22">
        <v>5.2899999999999996E-4</v>
      </c>
      <c r="F31" s="20">
        <v>27</v>
      </c>
      <c r="G31" s="13">
        <f ca="1"/>
        <v>1.2700000000000001E-3</v>
      </c>
      <c r="H31" s="13">
        <f ca="1"/>
        <v>5.3799999999999996E-4</v>
      </c>
    </row>
    <row r="32" spans="1:8">
      <c r="A32" s="20">
        <v>28</v>
      </c>
      <c r="B32" s="21">
        <v>7.27E-4</v>
      </c>
      <c r="C32" s="22">
        <v>1.16E-4</v>
      </c>
      <c r="D32" s="21">
        <v>1.25E-3</v>
      </c>
      <c r="E32" s="22">
        <v>5.3300000000000005E-4</v>
      </c>
      <c r="F32" s="20">
        <v>28</v>
      </c>
      <c r="G32" s="13">
        <f ca="1"/>
        <v>1.2600000000000001E-3</v>
      </c>
      <c r="H32" s="13">
        <f ca="1"/>
        <v>5.31E-4</v>
      </c>
    </row>
    <row r="33" spans="1:8">
      <c r="A33" s="20">
        <v>29</v>
      </c>
      <c r="B33" s="21">
        <v>7.2000000000000005E-4</v>
      </c>
      <c r="C33" s="22">
        <v>1.26E-4</v>
      </c>
      <c r="D33" s="21">
        <v>1.243E-3</v>
      </c>
      <c r="E33" s="22">
        <v>5.3700000000000004E-4</v>
      </c>
      <c r="F33" s="20">
        <v>29</v>
      </c>
      <c r="G33" s="13">
        <f ca="1"/>
        <v>1.25E-3</v>
      </c>
      <c r="H33" s="13">
        <f ca="1"/>
        <v>5.2899999999999996E-4</v>
      </c>
    </row>
    <row r="34" spans="1:8">
      <c r="A34" s="20">
        <v>30</v>
      </c>
      <c r="B34" s="21">
        <v>7.1699999999999997E-4</v>
      </c>
      <c r="C34" s="22">
        <v>1.3999999999999999E-4</v>
      </c>
      <c r="D34" s="21">
        <v>1.242E-3</v>
      </c>
      <c r="E34" s="22">
        <v>5.4900000000000001E-4</v>
      </c>
      <c r="F34" s="20">
        <v>30</v>
      </c>
      <c r="G34" s="13">
        <f ca="1"/>
        <v>1.243E-3</v>
      </c>
      <c r="H34" s="13">
        <f ca="1"/>
        <v>5.3300000000000005E-4</v>
      </c>
    </row>
    <row r="35" spans="1:8">
      <c r="A35" s="20">
        <v>31</v>
      </c>
      <c r="B35" s="21">
        <v>7.2400000000000003E-4</v>
      </c>
      <c r="C35" s="22">
        <v>1.6699999999999999E-4</v>
      </c>
      <c r="D35" s="21">
        <v>1.2440000000000001E-3</v>
      </c>
      <c r="E35" s="22">
        <v>5.8100000000000003E-4</v>
      </c>
      <c r="F35" s="20">
        <v>31</v>
      </c>
      <c r="G35" s="13">
        <f ca="1"/>
        <v>1.242E-3</v>
      </c>
      <c r="H35" s="13">
        <f ca="1"/>
        <v>5.3700000000000004E-4</v>
      </c>
    </row>
    <row r="36" spans="1:8">
      <c r="A36" s="20">
        <v>32</v>
      </c>
      <c r="B36" s="21">
        <v>7.3999999999999999E-4</v>
      </c>
      <c r="C36" s="22">
        <v>2.12E-4</v>
      </c>
      <c r="D36" s="21">
        <v>1.2539999999999999E-3</v>
      </c>
      <c r="E36" s="22">
        <v>6.3400000000000001E-4</v>
      </c>
      <c r="F36" s="20">
        <v>32</v>
      </c>
      <c r="G36" s="13">
        <f ca="1"/>
        <v>1.2440000000000001E-3</v>
      </c>
      <c r="H36" s="13">
        <f ca="1"/>
        <v>5.4900000000000001E-4</v>
      </c>
    </row>
    <row r="37" spans="1:8">
      <c r="A37" s="20">
        <v>33</v>
      </c>
      <c r="B37" s="21">
        <v>7.7700000000000002E-4</v>
      </c>
      <c r="C37" s="22">
        <v>2.7099999999999997E-4</v>
      </c>
      <c r="D37" s="21">
        <v>1.2819999999999999E-3</v>
      </c>
      <c r="E37" s="22">
        <v>6.9999999999999999E-4</v>
      </c>
      <c r="F37" s="20">
        <v>33</v>
      </c>
      <c r="G37" s="13">
        <f ca="1"/>
        <v>1.2539999999999999E-3</v>
      </c>
      <c r="H37" s="13">
        <f ca="1"/>
        <v>5.8100000000000003E-4</v>
      </c>
    </row>
    <row r="38" spans="1:8">
      <c r="A38" s="20">
        <v>34</v>
      </c>
      <c r="B38" s="21">
        <v>8.3699999999999996E-4</v>
      </c>
      <c r="C38" s="22">
        <v>3.3199999999999999E-4</v>
      </c>
      <c r="D38" s="21">
        <v>1.333E-3</v>
      </c>
      <c r="E38" s="22">
        <v>7.67E-4</v>
      </c>
      <c r="F38" s="20">
        <v>34</v>
      </c>
      <c r="G38" s="13">
        <f ca="1"/>
        <v>1.2819999999999999E-3</v>
      </c>
      <c r="H38" s="13">
        <f ca="1"/>
        <v>6.3400000000000001E-4</v>
      </c>
    </row>
    <row r="39" spans="1:8">
      <c r="A39" s="20">
        <v>35</v>
      </c>
      <c r="B39" s="21">
        <v>9.2299999999999999E-4</v>
      </c>
      <c r="C39" s="22">
        <v>3.88E-4</v>
      </c>
      <c r="D39" s="21">
        <v>1.4139999999999999E-3</v>
      </c>
      <c r="E39" s="22">
        <v>8.3000000000000001E-4</v>
      </c>
      <c r="F39" s="20">
        <v>35</v>
      </c>
      <c r="G39" s="13">
        <f ca="1"/>
        <v>1.333E-3</v>
      </c>
      <c r="H39" s="13">
        <f ca="1"/>
        <v>6.9999999999999999E-4</v>
      </c>
    </row>
    <row r="40" spans="1:8">
      <c r="A40" s="20">
        <v>36</v>
      </c>
      <c r="B40" s="21">
        <v>1.0349999999999999E-3</v>
      </c>
      <c r="C40" s="22">
        <v>4.2900000000000002E-4</v>
      </c>
      <c r="D40" s="21">
        <v>1.5219999999999999E-3</v>
      </c>
      <c r="E40" s="22">
        <v>8.83E-4</v>
      </c>
      <c r="F40" s="20">
        <v>36</v>
      </c>
      <c r="G40" s="13">
        <f ca="1"/>
        <v>1.4139999999999999E-3</v>
      </c>
      <c r="H40" s="13">
        <f ca="1"/>
        <v>7.67E-4</v>
      </c>
    </row>
    <row r="41" spans="1:8">
      <c r="A41" s="20">
        <v>37</v>
      </c>
      <c r="B41" s="21">
        <v>1.1720000000000001E-3</v>
      </c>
      <c r="C41" s="22">
        <v>4.55E-4</v>
      </c>
      <c r="D41" s="21">
        <v>1.653E-3</v>
      </c>
      <c r="E41" s="22">
        <v>9.2299999999999999E-4</v>
      </c>
      <c r="F41" s="20">
        <v>37</v>
      </c>
      <c r="G41" s="13">
        <f ca="1"/>
        <v>1.5219999999999999E-3</v>
      </c>
      <c r="H41" s="13">
        <f ca="1"/>
        <v>8.3000000000000001E-4</v>
      </c>
    </row>
    <row r="42" spans="1:8">
      <c r="A42" s="20">
        <v>38</v>
      </c>
      <c r="B42" s="21">
        <v>1.328E-3</v>
      </c>
      <c r="C42" s="22">
        <v>4.6900000000000002E-4</v>
      </c>
      <c r="D42" s="21">
        <v>1.802E-3</v>
      </c>
      <c r="E42" s="22">
        <v>9.5100000000000002E-4</v>
      </c>
      <c r="F42" s="20">
        <v>38</v>
      </c>
      <c r="G42" s="13">
        <f ca="1"/>
        <v>1.653E-3</v>
      </c>
      <c r="H42" s="13">
        <f ca="1"/>
        <v>8.83E-4</v>
      </c>
    </row>
    <row r="43" spans="1:8">
      <c r="A43" s="20">
        <v>39</v>
      </c>
      <c r="B43" s="21">
        <v>1.488E-3</v>
      </c>
      <c r="C43" s="22">
        <v>4.84E-4</v>
      </c>
      <c r="D43" s="21">
        <v>1.9599999999999999E-3</v>
      </c>
      <c r="E43" s="22">
        <v>9.7799999999999992E-4</v>
      </c>
      <c r="F43" s="20">
        <v>39</v>
      </c>
      <c r="G43" s="13">
        <f ca="1"/>
        <v>1.802E-3</v>
      </c>
      <c r="H43" s="13">
        <f ca="1"/>
        <v>9.2299999999999999E-4</v>
      </c>
    </row>
    <row r="44" spans="1:8">
      <c r="A44" s="20">
        <v>40</v>
      </c>
      <c r="B44" s="21">
        <v>1.6639999999999999E-3</v>
      </c>
      <c r="C44" s="22">
        <v>5.13E-4</v>
      </c>
      <c r="D44" s="21">
        <v>2.14E-3</v>
      </c>
      <c r="E44" s="22">
        <v>1.0189999999999999E-3</v>
      </c>
      <c r="F44" s="20">
        <v>40</v>
      </c>
      <c r="G44" s="13">
        <f ca="1"/>
        <v>1.9599999999999999E-3</v>
      </c>
      <c r="H44" s="13">
        <f ca="1"/>
        <v>9.5100000000000002E-4</v>
      </c>
    </row>
    <row r="45" spans="1:8">
      <c r="A45" s="20">
        <v>41</v>
      </c>
      <c r="B45" s="21">
        <v>1.874E-3</v>
      </c>
      <c r="C45" s="22">
        <v>5.62E-4</v>
      </c>
      <c r="D45" s="21">
        <v>2.3470000000000001E-3</v>
      </c>
      <c r="E45" s="22">
        <v>1.0790000000000001E-3</v>
      </c>
      <c r="F45" s="20">
        <v>41</v>
      </c>
      <c r="G45" s="13">
        <f ca="1"/>
        <v>2.14E-3</v>
      </c>
      <c r="H45" s="13">
        <f ca="1"/>
        <v>9.7799999999999992E-4</v>
      </c>
    </row>
    <row r="46" spans="1:8">
      <c r="A46" s="20">
        <v>42</v>
      </c>
      <c r="B46" s="21">
        <v>2.1250000000000002E-3</v>
      </c>
      <c r="C46" s="22">
        <v>6.3599999999999996E-4</v>
      </c>
      <c r="D46" s="21">
        <v>2.5860000000000002E-3</v>
      </c>
      <c r="E46" s="22">
        <v>1.1640000000000001E-3</v>
      </c>
      <c r="F46" s="20">
        <v>42</v>
      </c>
      <c r="G46" s="13">
        <f ca="1"/>
        <v>2.3470000000000001E-3</v>
      </c>
      <c r="H46" s="13">
        <f ca="1"/>
        <v>1.0189999999999999E-3</v>
      </c>
    </row>
    <row r="47" spans="1:8">
      <c r="A47" s="20">
        <v>43</v>
      </c>
      <c r="B47" s="21">
        <v>2.415E-3</v>
      </c>
      <c r="C47" s="22">
        <v>7.3099999999999999E-4</v>
      </c>
      <c r="D47" s="21">
        <v>2.862E-3</v>
      </c>
      <c r="E47" s="22">
        <v>1.2700000000000001E-3</v>
      </c>
      <c r="F47" s="20">
        <v>43</v>
      </c>
      <c r="G47" s="13">
        <f ca="1"/>
        <v>2.5860000000000002E-3</v>
      </c>
      <c r="H47" s="13">
        <f ca="1"/>
        <v>1.0790000000000001E-3</v>
      </c>
    </row>
    <row r="48" spans="1:8">
      <c r="A48" s="20">
        <v>44</v>
      </c>
      <c r="B48" s="21">
        <v>2.722E-3</v>
      </c>
      <c r="C48" s="22">
        <v>8.43E-4</v>
      </c>
      <c r="D48" s="21">
        <v>3.163E-3</v>
      </c>
      <c r="E48" s="22">
        <v>1.395E-3</v>
      </c>
      <c r="F48" s="20">
        <v>44</v>
      </c>
      <c r="G48" s="13">
        <f ca="1"/>
        <v>2.862E-3</v>
      </c>
      <c r="H48" s="13">
        <f ca="1"/>
        <v>1.1640000000000001E-3</v>
      </c>
    </row>
    <row r="49" spans="1:8">
      <c r="A49" s="20">
        <v>45</v>
      </c>
      <c r="B49" s="21">
        <v>3.0200000000000001E-3</v>
      </c>
      <c r="C49" s="22">
        <v>9.5500000000000001E-4</v>
      </c>
      <c r="D49" s="21">
        <v>3.48E-3</v>
      </c>
      <c r="E49" s="22">
        <v>1.5219999999999999E-3</v>
      </c>
      <c r="F49" s="20">
        <v>45</v>
      </c>
      <c r="G49" s="13">
        <f ca="1"/>
        <v>3.163E-3</v>
      </c>
      <c r="H49" s="13">
        <f ca="1"/>
        <v>1.2700000000000001E-3</v>
      </c>
    </row>
    <row r="50" spans="1:8">
      <c r="A50" s="20">
        <v>46</v>
      </c>
      <c r="B50" s="21">
        <v>3.3219999999999999E-3</v>
      </c>
      <c r="C50" s="22">
        <v>1.0660000000000001E-3</v>
      </c>
      <c r="D50" s="21">
        <v>3.8170000000000001E-3</v>
      </c>
      <c r="E50" s="22">
        <v>1.65E-3</v>
      </c>
      <c r="F50" s="20">
        <v>46</v>
      </c>
      <c r="G50" s="13">
        <f ca="1"/>
        <v>3.48E-3</v>
      </c>
      <c r="H50" s="13">
        <f ca="1"/>
        <v>1.395E-3</v>
      </c>
    </row>
    <row r="51" spans="1:8">
      <c r="A51" s="20">
        <v>47</v>
      </c>
      <c r="B51" s="21">
        <v>3.63E-3</v>
      </c>
      <c r="C51" s="22">
        <v>1.17E-3</v>
      </c>
      <c r="D51" s="21">
        <v>4.1720000000000004E-3</v>
      </c>
      <c r="E51" s="22">
        <v>1.7730000000000001E-3</v>
      </c>
      <c r="F51" s="20">
        <v>47</v>
      </c>
      <c r="G51" s="13">
        <f ca="1"/>
        <v>3.8170000000000001E-3</v>
      </c>
      <c r="H51" s="13">
        <f ca="1"/>
        <v>1.5219999999999999E-3</v>
      </c>
    </row>
    <row r="52" spans="1:8">
      <c r="A52" s="20">
        <v>48</v>
      </c>
      <c r="B52" s="21">
        <v>3.954E-3</v>
      </c>
      <c r="C52" s="22">
        <v>1.276E-3</v>
      </c>
      <c r="D52" s="21">
        <v>4.5459999999999997E-3</v>
      </c>
      <c r="E52" s="22">
        <v>1.897E-3</v>
      </c>
      <c r="F52" s="20">
        <v>48</v>
      </c>
      <c r="G52" s="13">
        <f ca="1"/>
        <v>4.1720000000000004E-3</v>
      </c>
      <c r="H52" s="13">
        <f ca="1"/>
        <v>1.65E-3</v>
      </c>
    </row>
    <row r="53" spans="1:8">
      <c r="A53" s="20">
        <v>49</v>
      </c>
      <c r="B53" s="21">
        <v>4.3030000000000004E-3</v>
      </c>
      <c r="C53" s="22">
        <v>1.389E-3</v>
      </c>
      <c r="D53" s="21">
        <v>4.9430000000000003E-3</v>
      </c>
      <c r="E53" s="22">
        <v>2.0270000000000002E-3</v>
      </c>
      <c r="F53" s="20">
        <v>49</v>
      </c>
      <c r="G53" s="13">
        <f ca="1"/>
        <v>4.5459999999999997E-3</v>
      </c>
      <c r="H53" s="13">
        <f ca="1"/>
        <v>1.7730000000000001E-3</v>
      </c>
    </row>
    <row r="54" spans="1:8">
      <c r="A54" s="20">
        <v>50</v>
      </c>
      <c r="B54" s="21">
        <v>4.6750000000000003E-3</v>
      </c>
      <c r="C54" s="22">
        <v>1.5169999999999999E-3</v>
      </c>
      <c r="D54" s="21">
        <v>5.3600000000000002E-3</v>
      </c>
      <c r="E54" s="22">
        <v>2.1679999999999998E-3</v>
      </c>
      <c r="F54" s="20">
        <v>50</v>
      </c>
      <c r="G54" s="13">
        <f ca="1"/>
        <v>4.9430000000000003E-3</v>
      </c>
      <c r="H54" s="13">
        <f ca="1"/>
        <v>1.897E-3</v>
      </c>
    </row>
    <row r="55" spans="1:8">
      <c r="A55" s="20">
        <v>51</v>
      </c>
      <c r="B55" s="21">
        <v>5.0769999999999999E-3</v>
      </c>
      <c r="C55" s="22">
        <v>1.6620000000000001E-3</v>
      </c>
      <c r="D55" s="21">
        <v>5.8019999999999999E-3</v>
      </c>
      <c r="E55" s="22">
        <v>2.3210000000000001E-3</v>
      </c>
      <c r="F55" s="20">
        <v>51</v>
      </c>
      <c r="G55" s="13">
        <f ca="1"/>
        <v>5.3600000000000002E-3</v>
      </c>
      <c r="H55" s="13">
        <f ca="1"/>
        <v>2.0270000000000002E-3</v>
      </c>
    </row>
    <row r="56" spans="1:8">
      <c r="A56" s="20">
        <v>52</v>
      </c>
      <c r="B56" s="21">
        <v>5.5129999999999997E-3</v>
      </c>
      <c r="C56" s="22">
        <v>1.823E-3</v>
      </c>
      <c r="D56" s="21">
        <v>6.2709999999999997E-3</v>
      </c>
      <c r="E56" s="22">
        <v>2.4919999999999999E-3</v>
      </c>
      <c r="F56" s="20">
        <v>52</v>
      </c>
      <c r="G56" s="13">
        <f ca="1"/>
        <v>5.8019999999999999E-3</v>
      </c>
      <c r="H56" s="13">
        <f ca="1"/>
        <v>2.1679999999999998E-3</v>
      </c>
    </row>
    <row r="57" spans="1:8">
      <c r="A57" s="20">
        <v>53</v>
      </c>
      <c r="B57" s="21">
        <v>5.9740000000000001E-3</v>
      </c>
      <c r="C57" s="22">
        <v>2.0170000000000001E-3</v>
      </c>
      <c r="D57" s="21">
        <v>6.8609999999999999E-3</v>
      </c>
      <c r="E57" s="22">
        <v>2.6819999999999999E-3</v>
      </c>
      <c r="F57" s="20">
        <v>53</v>
      </c>
      <c r="G57" s="13">
        <f ca="1"/>
        <v>6.2709999999999997E-3</v>
      </c>
      <c r="H57" s="13">
        <f ca="1"/>
        <v>2.3210000000000001E-3</v>
      </c>
    </row>
    <row r="58" spans="1:8">
      <c r="A58" s="20">
        <v>54</v>
      </c>
      <c r="B58" s="21">
        <v>6.4530000000000004E-3</v>
      </c>
      <c r="C58" s="22">
        <v>2.2269999999999998E-3</v>
      </c>
      <c r="D58" s="21">
        <v>7.2659999999999999E-3</v>
      </c>
      <c r="E58" s="22">
        <v>2.895E-3</v>
      </c>
      <c r="F58" s="20">
        <v>54</v>
      </c>
      <c r="G58" s="13">
        <f ca="1"/>
        <v>6.8609999999999999E-3</v>
      </c>
      <c r="H58" s="13">
        <f ca="1"/>
        <v>2.4919999999999999E-3</v>
      </c>
    </row>
    <row r="59" spans="1:8">
      <c r="A59" s="20">
        <v>55</v>
      </c>
      <c r="B59" s="21">
        <v>6.9350000000000002E-3</v>
      </c>
      <c r="C59" s="22">
        <v>2.4499999999999999E-3</v>
      </c>
      <c r="D59" s="21">
        <v>7.7739999999999997E-3</v>
      </c>
      <c r="E59" s="22">
        <v>3.1220000000000002E-3</v>
      </c>
      <c r="F59" s="20">
        <v>55</v>
      </c>
      <c r="G59" s="13">
        <f ca="1"/>
        <v>7.2659999999999999E-3</v>
      </c>
      <c r="H59" s="13">
        <f ca="1"/>
        <v>2.6819999999999999E-3</v>
      </c>
    </row>
    <row r="60" spans="1:8">
      <c r="A60" s="20">
        <v>56</v>
      </c>
      <c r="B60" s="21">
        <v>7.5100000000000002E-3</v>
      </c>
      <c r="C60" s="22">
        <v>2.7330000000000002E-3</v>
      </c>
      <c r="D60" s="21">
        <v>8.3569999999999998E-3</v>
      </c>
      <c r="E60" s="22">
        <v>3.4069999999999999E-3</v>
      </c>
      <c r="F60" s="20">
        <v>56</v>
      </c>
      <c r="G60" s="13">
        <f ca="1"/>
        <v>7.7739999999999997E-3</v>
      </c>
      <c r="H60" s="13">
        <f ca="1"/>
        <v>2.895E-3</v>
      </c>
    </row>
    <row r="61" spans="1:8">
      <c r="A61" s="20">
        <v>57</v>
      </c>
      <c r="B61" s="21">
        <v>8.1530000000000005E-3</v>
      </c>
      <c r="C61" s="22">
        <v>3.0249999999999999E-3</v>
      </c>
      <c r="D61" s="21">
        <v>8.9949999999999995E-3</v>
      </c>
      <c r="E61" s="22">
        <v>3.6960000000000001E-3</v>
      </c>
      <c r="F61" s="20">
        <v>57</v>
      </c>
      <c r="G61" s="13">
        <f ca="1"/>
        <v>8.3569999999999998E-3</v>
      </c>
      <c r="H61" s="13">
        <f ca="1"/>
        <v>3.1220000000000002E-3</v>
      </c>
    </row>
    <row r="62" spans="1:8">
      <c r="A62" s="20">
        <v>58</v>
      </c>
      <c r="B62" s="21">
        <v>8.8299999999999993E-3</v>
      </c>
      <c r="C62" s="22">
        <v>3.3189999999999999E-3</v>
      </c>
      <c r="D62" s="21">
        <v>9.6640000000000007E-3</v>
      </c>
      <c r="E62" s="22">
        <v>3.9849999999999998E-3</v>
      </c>
      <c r="F62" s="20">
        <v>58</v>
      </c>
      <c r="G62" s="13">
        <f ca="1"/>
        <v>8.9949999999999995E-3</v>
      </c>
      <c r="H62" s="13">
        <f ca="1"/>
        <v>3.4069999999999999E-3</v>
      </c>
    </row>
    <row r="63" spans="1:8">
      <c r="A63" s="20">
        <v>59</v>
      </c>
      <c r="B63" s="21">
        <v>9.5230000000000002E-3</v>
      </c>
      <c r="C63" s="22">
        <v>3.63E-3</v>
      </c>
      <c r="D63" s="21">
        <v>1.0349000000000001E-2</v>
      </c>
      <c r="E63" s="22">
        <v>4.2929999999999999E-3</v>
      </c>
      <c r="F63" s="20">
        <v>59</v>
      </c>
      <c r="G63" s="13">
        <f ca="1"/>
        <v>9.6640000000000007E-3</v>
      </c>
      <c r="H63" s="13">
        <f ca="1"/>
        <v>3.6960000000000001E-3</v>
      </c>
    </row>
    <row r="64" spans="1:8">
      <c r="A64" s="20">
        <v>60</v>
      </c>
      <c r="B64" s="21">
        <v>1.0214000000000001E-2</v>
      </c>
      <c r="C64" s="22">
        <v>3.9519999999999998E-3</v>
      </c>
      <c r="D64" s="21">
        <v>1.1035E-2</v>
      </c>
      <c r="E64" s="22">
        <v>4.6119999999999998E-3</v>
      </c>
      <c r="F64" s="20">
        <v>60</v>
      </c>
      <c r="G64" s="13">
        <f ca="1"/>
        <v>1.0349000000000001E-2</v>
      </c>
      <c r="H64" s="13">
        <f ca="1"/>
        <v>3.9849999999999998E-3</v>
      </c>
    </row>
    <row r="65" spans="1:8">
      <c r="A65" s="20">
        <v>61</v>
      </c>
      <c r="B65" s="21">
        <v>1.0931E-2</v>
      </c>
      <c r="C65" s="22">
        <v>4.2960000000000003E-3</v>
      </c>
      <c r="D65" s="21">
        <v>1.174E-2</v>
      </c>
      <c r="E65" s="22">
        <v>4.9519999999999998E-3</v>
      </c>
      <c r="F65" s="20">
        <v>61</v>
      </c>
      <c r="G65" s="13">
        <f ca="1"/>
        <v>1.1035E-2</v>
      </c>
      <c r="H65" s="13">
        <f ca="1"/>
        <v>4.2929999999999999E-3</v>
      </c>
    </row>
    <row r="66" spans="1:8">
      <c r="A66" s="20">
        <v>62</v>
      </c>
      <c r="B66" s="21">
        <v>1.1766E-2</v>
      </c>
      <c r="C66" s="22">
        <v>4.6690000000000004E-3</v>
      </c>
      <c r="D66" s="21">
        <v>1.2548E-2</v>
      </c>
      <c r="E66" s="22">
        <v>5.3109999999999997E-3</v>
      </c>
      <c r="F66" s="20">
        <v>62</v>
      </c>
      <c r="G66" s="13">
        <f ca="1"/>
        <v>1.174E-2</v>
      </c>
      <c r="H66" s="13">
        <f ca="1"/>
        <v>4.6119999999999998E-3</v>
      </c>
    </row>
    <row r="67" spans="1:8">
      <c r="A67" s="20">
        <v>63</v>
      </c>
      <c r="B67" s="21">
        <v>1.278E-2</v>
      </c>
      <c r="C67" s="22">
        <v>5.045E-3</v>
      </c>
      <c r="D67" s="21">
        <v>1.3518000000000001E-2</v>
      </c>
      <c r="E67" s="22">
        <v>5.6639999999999998E-3</v>
      </c>
      <c r="F67" s="20">
        <v>63</v>
      </c>
      <c r="G67" s="13">
        <f ca="1"/>
        <v>1.2548E-2</v>
      </c>
      <c r="H67" s="13">
        <f ca="1"/>
        <v>4.9519999999999998E-3</v>
      </c>
    </row>
    <row r="68" spans="1:8">
      <c r="A68" s="20">
        <v>64</v>
      </c>
      <c r="B68" s="21">
        <v>1.4024E-2</v>
      </c>
      <c r="C68" s="22">
        <v>5.4359999999999999E-3</v>
      </c>
      <c r="D68" s="21">
        <v>1.4703000000000001E-2</v>
      </c>
      <c r="E68" s="22">
        <v>6.0200000000000002E-3</v>
      </c>
      <c r="F68" s="20">
        <v>64</v>
      </c>
      <c r="G68" s="13">
        <f ca="1"/>
        <v>1.3518000000000001E-2</v>
      </c>
      <c r="H68" s="13">
        <f ca="1"/>
        <v>5.3109999999999997E-3</v>
      </c>
    </row>
    <row r="69" spans="1:8">
      <c r="A69" s="20">
        <v>65</v>
      </c>
      <c r="B69" s="21">
        <v>1.5509E-2</v>
      </c>
      <c r="C69" s="22">
        <v>5.8849999999999996E-3</v>
      </c>
      <c r="D69" s="21">
        <v>1.6114E-2</v>
      </c>
      <c r="E69" s="22">
        <v>6.4229999999999999E-3</v>
      </c>
      <c r="F69" s="20">
        <v>65</v>
      </c>
      <c r="G69" s="13">
        <f ca="1"/>
        <v>1.4703000000000001E-2</v>
      </c>
      <c r="H69" s="13">
        <f ca="1"/>
        <v>5.6639999999999998E-3</v>
      </c>
    </row>
    <row r="70" spans="1:8">
      <c r="A70" s="20">
        <v>66</v>
      </c>
      <c r="B70" s="21">
        <v>1.7316000000000002E-2</v>
      </c>
      <c r="C70" s="22">
        <v>6.4539999999999997E-3</v>
      </c>
      <c r="D70" s="21">
        <v>1.7826999999999999E-2</v>
      </c>
      <c r="E70" s="22">
        <v>6.9300000000000004E-3</v>
      </c>
      <c r="F70" s="20">
        <v>66</v>
      </c>
      <c r="G70" s="13">
        <f ca="1"/>
        <v>1.6114E-2</v>
      </c>
      <c r="H70" s="13">
        <f ca="1"/>
        <v>6.0200000000000002E-3</v>
      </c>
    </row>
    <row r="71" spans="1:8">
      <c r="A71" s="20">
        <v>67</v>
      </c>
      <c r="B71" s="21">
        <v>1.95E-2</v>
      </c>
      <c r="C71" s="22">
        <v>7.0559999999999998E-3</v>
      </c>
      <c r="D71" s="21">
        <v>1.9899E-2</v>
      </c>
      <c r="E71" s="22">
        <v>7.5500000000000003E-3</v>
      </c>
      <c r="F71" s="20">
        <v>67</v>
      </c>
      <c r="G71" s="13">
        <f ca="1"/>
        <v>1.7826999999999999E-2</v>
      </c>
      <c r="H71" s="13">
        <f ca="1"/>
        <v>6.4229999999999999E-3</v>
      </c>
    </row>
    <row r="72" spans="1:8">
      <c r="A72" s="20">
        <v>68</v>
      </c>
      <c r="B72" s="21">
        <v>2.2259999999999999E-2</v>
      </c>
      <c r="C72" s="22">
        <v>8.0070000000000002E-3</v>
      </c>
      <c r="D72" s="21">
        <v>2.2530000000000001E-2</v>
      </c>
      <c r="E72" s="22">
        <v>8.2959999999999996E-3</v>
      </c>
      <c r="F72" s="20">
        <v>68</v>
      </c>
      <c r="G72" s="13">
        <f ca="1"/>
        <v>1.9899E-2</v>
      </c>
      <c r="H72" s="13">
        <f ca="1"/>
        <v>6.9300000000000004E-3</v>
      </c>
    </row>
    <row r="73" spans="1:8">
      <c r="A73" s="20">
        <v>69</v>
      </c>
      <c r="B73" s="21">
        <v>2.4924000000000002E-2</v>
      </c>
      <c r="C73" s="22">
        <v>9.0340000000000004E-3</v>
      </c>
      <c r="D73" s="21">
        <v>2.5065E-2</v>
      </c>
      <c r="E73" s="22">
        <v>9.1940000000000008E-3</v>
      </c>
      <c r="F73" s="20">
        <v>69</v>
      </c>
      <c r="G73" s="13">
        <f ca="1"/>
        <v>2.2530000000000001E-2</v>
      </c>
      <c r="H73" s="13">
        <f ca="1"/>
        <v>7.5500000000000003E-3</v>
      </c>
    </row>
    <row r="74" spans="1:8">
      <c r="A74" s="20">
        <v>70</v>
      </c>
      <c r="B74" s="21">
        <v>2.7872999999999998E-2</v>
      </c>
      <c r="C74" s="22">
        <v>1.0291E-2</v>
      </c>
      <c r="D74" s="21">
        <v>2.7872999999999998E-2</v>
      </c>
      <c r="E74" s="22">
        <v>1.0291E-2</v>
      </c>
      <c r="F74" s="20">
        <v>70</v>
      </c>
      <c r="G74" s="13">
        <f ca="1"/>
        <v>2.5065E-2</v>
      </c>
      <c r="H74" s="13">
        <f ca="1"/>
        <v>8.2959999999999996E-3</v>
      </c>
    </row>
    <row r="75" spans="1:8">
      <c r="A75" s="20">
        <v>71</v>
      </c>
      <c r="B75" s="21">
        <v>3.0984000000000001E-2</v>
      </c>
      <c r="C75" s="22">
        <v>1.2087000000000001E-2</v>
      </c>
      <c r="D75" s="21">
        <v>3.0828000000000001E-2</v>
      </c>
      <c r="E75" s="22">
        <v>1.1889E-2</v>
      </c>
      <c r="F75" s="20">
        <v>71</v>
      </c>
      <c r="G75" s="13">
        <f ca="1"/>
        <v>2.7872999999999998E-2</v>
      </c>
      <c r="H75" s="13">
        <f ca="1"/>
        <v>9.1940000000000008E-3</v>
      </c>
    </row>
    <row r="76" spans="1:8">
      <c r="A76" s="20">
        <v>72</v>
      </c>
      <c r="B76" s="21">
        <v>3.4618000000000003E-2</v>
      </c>
      <c r="C76" s="22">
        <v>1.4083999999999999E-2</v>
      </c>
      <c r="D76" s="21">
        <v>3.4296E-2</v>
      </c>
      <c r="E76" s="22">
        <v>1.3646E-2</v>
      </c>
      <c r="F76" s="20">
        <v>72</v>
      </c>
      <c r="G76" s="13">
        <f ca="1"/>
        <v>3.0828000000000001E-2</v>
      </c>
      <c r="H76" s="13">
        <f ca="1"/>
        <v>1.0291E-2</v>
      </c>
    </row>
    <row r="77" spans="1:8">
      <c r="A77" s="20">
        <v>73</v>
      </c>
      <c r="B77" s="21">
        <v>3.9137999999999999E-2</v>
      </c>
      <c r="C77" s="22">
        <v>1.6299000000000001E-2</v>
      </c>
      <c r="D77" s="21">
        <v>3.8646E-2</v>
      </c>
      <c r="E77" s="22">
        <v>1.5573999999999999E-2</v>
      </c>
      <c r="F77" s="20">
        <v>73</v>
      </c>
      <c r="G77" s="13">
        <f ca="1"/>
        <v>3.4296E-2</v>
      </c>
      <c r="H77" s="13">
        <f ca="1"/>
        <v>1.1889E-2</v>
      </c>
    </row>
    <row r="78" spans="1:8">
      <c r="A78" s="20">
        <v>74</v>
      </c>
      <c r="B78" s="21">
        <v>4.403E-2</v>
      </c>
      <c r="C78" s="22">
        <v>1.8950000000000002E-2</v>
      </c>
      <c r="D78" s="21">
        <v>4.3368999999999998E-2</v>
      </c>
      <c r="E78" s="22">
        <v>1.7881999999999999E-2</v>
      </c>
      <c r="F78" s="20">
        <v>74</v>
      </c>
      <c r="G78" s="13">
        <f ca="1"/>
        <v>3.8646E-2</v>
      </c>
      <c r="H78" s="13">
        <f ca="1"/>
        <v>1.3646E-2</v>
      </c>
    </row>
    <row r="79" spans="1:8">
      <c r="A79" s="20">
        <v>75</v>
      </c>
      <c r="B79" s="21">
        <v>4.9069000000000002E-2</v>
      </c>
      <c r="C79" s="22">
        <v>2.1999000000000001E-2</v>
      </c>
      <c r="D79" s="21">
        <v>4.8214E-2</v>
      </c>
      <c r="E79" s="22">
        <v>2.0521999999999999E-2</v>
      </c>
      <c r="F79" s="20">
        <v>75</v>
      </c>
      <c r="G79" s="13">
        <f ca="1"/>
        <v>4.3368999999999998E-2</v>
      </c>
      <c r="H79" s="13">
        <f ca="1"/>
        <v>1.5573999999999999E-2</v>
      </c>
    </row>
    <row r="80" spans="1:8">
      <c r="A80" s="20">
        <v>76</v>
      </c>
      <c r="B80" s="21">
        <v>5.4401999999999999E-2</v>
      </c>
      <c r="C80" s="22">
        <v>2.5426000000000001E-2</v>
      </c>
      <c r="D80" s="21">
        <v>5.3333999999999999E-2</v>
      </c>
      <c r="E80" s="22">
        <v>2.3466000000000001E-2</v>
      </c>
      <c r="F80" s="20">
        <v>76</v>
      </c>
      <c r="G80" s="13">
        <f ca="1"/>
        <v>4.8214E-2</v>
      </c>
      <c r="H80" s="13">
        <f ca="1"/>
        <v>1.7881999999999999E-2</v>
      </c>
    </row>
    <row r="81" spans="1:8">
      <c r="A81" s="20">
        <v>77</v>
      </c>
      <c r="B81" s="21">
        <v>6.0066000000000001E-2</v>
      </c>
      <c r="C81" s="22">
        <v>2.9368999999999999E-2</v>
      </c>
      <c r="D81" s="21">
        <v>5.8767E-2</v>
      </c>
      <c r="E81" s="22">
        <v>2.6845000000000001E-2</v>
      </c>
      <c r="F81" s="20">
        <v>77</v>
      </c>
      <c r="G81" s="13">
        <f ca="1"/>
        <v>5.3333999999999999E-2</v>
      </c>
      <c r="H81" s="13">
        <f ca="1"/>
        <v>2.0521999999999999E-2</v>
      </c>
    </row>
    <row r="82" spans="1:8">
      <c r="A82" s="20">
        <v>78</v>
      </c>
      <c r="B82" s="21">
        <v>6.5698000000000006E-2</v>
      </c>
      <c r="C82" s="22">
        <v>3.3988999999999998E-2</v>
      </c>
      <c r="D82" s="21">
        <v>6.4103999999999994E-2</v>
      </c>
      <c r="E82" s="22">
        <v>3.0818000000000002E-2</v>
      </c>
      <c r="F82" s="20">
        <v>78</v>
      </c>
      <c r="G82" s="13">
        <f ca="1"/>
        <v>5.8767E-2</v>
      </c>
      <c r="H82" s="13">
        <f ca="1"/>
        <v>2.3466000000000001E-2</v>
      </c>
    </row>
    <row r="83" spans="1:8">
      <c r="A83" s="20">
        <v>79</v>
      </c>
      <c r="B83" s="21">
        <v>7.0960999999999996E-2</v>
      </c>
      <c r="C83" s="22">
        <v>3.9334000000000001E-2</v>
      </c>
      <c r="D83" s="21">
        <v>6.8857000000000002E-2</v>
      </c>
      <c r="E83" s="22">
        <v>3.5438999999999998E-2</v>
      </c>
      <c r="F83" s="20">
        <v>79</v>
      </c>
      <c r="G83" s="13">
        <f ca="1"/>
        <v>6.4103999999999994E-2</v>
      </c>
      <c r="H83" s="13">
        <f ca="1"/>
        <v>2.6845000000000001E-2</v>
      </c>
    </row>
    <row r="84" spans="1:8">
      <c r="A84" s="20">
        <v>80</v>
      </c>
      <c r="B84" s="21">
        <v>7.7577999999999994E-2</v>
      </c>
      <c r="C84" s="22">
        <v>4.5567000000000003E-2</v>
      </c>
      <c r="D84" s="21">
        <v>7.5003E-2</v>
      </c>
      <c r="E84" s="22">
        <v>4.088E-2</v>
      </c>
      <c r="F84" s="20">
        <v>80</v>
      </c>
      <c r="G84" s="13">
        <f ca="1"/>
        <v>6.8857000000000002E-2</v>
      </c>
      <c r="H84" s="13">
        <f ca="1"/>
        <v>3.0818000000000002E-2</v>
      </c>
    </row>
    <row r="85" spans="1:8">
      <c r="A85" s="20">
        <v>81</v>
      </c>
      <c r="B85" s="21">
        <v>8.5150000000000003E-2</v>
      </c>
      <c r="C85" s="22">
        <v>5.2854999999999999E-2</v>
      </c>
      <c r="D85" s="21">
        <v>8.2123000000000002E-2</v>
      </c>
      <c r="E85" s="22">
        <v>4.7331999999999999E-2</v>
      </c>
      <c r="F85" s="20">
        <v>81</v>
      </c>
      <c r="G85" s="13">
        <f ca="1"/>
        <v>7.5003E-2</v>
      </c>
      <c r="H85" s="13">
        <f ca="1"/>
        <v>3.5438999999999998E-2</v>
      </c>
    </row>
    <row r="86" spans="1:8">
      <c r="A86" s="20">
        <v>82</v>
      </c>
      <c r="B86" s="21">
        <v>9.2984999999999998E-2</v>
      </c>
      <c r="C86" s="22">
        <v>6.1274000000000002E-2</v>
      </c>
      <c r="D86" s="21">
        <v>8.9452000000000004E-2</v>
      </c>
      <c r="E86" s="22">
        <v>5.4890000000000001E-2</v>
      </c>
      <c r="F86" s="20">
        <v>82</v>
      </c>
      <c r="G86" s="13">
        <f ca="1"/>
        <v>8.2123000000000002E-2</v>
      </c>
      <c r="H86" s="13">
        <f ca="1"/>
        <v>4.088E-2</v>
      </c>
    </row>
    <row r="87" spans="1:8">
      <c r="A87" s="20">
        <v>83</v>
      </c>
      <c r="B87" s="21">
        <v>0.100797</v>
      </c>
      <c r="C87" s="22">
        <v>7.0805999999999994E-2</v>
      </c>
      <c r="D87" s="21">
        <v>9.6661999999999998E-2</v>
      </c>
      <c r="E87" s="22">
        <v>6.3557000000000002E-2</v>
      </c>
      <c r="F87" s="20">
        <v>83</v>
      </c>
      <c r="G87" s="13">
        <f ca="1"/>
        <v>8.9452000000000004E-2</v>
      </c>
      <c r="H87" s="13">
        <f ca="1"/>
        <v>4.7331999999999999E-2</v>
      </c>
    </row>
    <row r="88" spans="1:8">
      <c r="A88" s="20">
        <v>84</v>
      </c>
      <c r="B88" s="21">
        <v>0.108483</v>
      </c>
      <c r="C88" s="22">
        <v>8.1295000000000006E-2</v>
      </c>
      <c r="D88" s="21">
        <v>0.103614</v>
      </c>
      <c r="E88" s="22">
        <v>7.3207999999999995E-2</v>
      </c>
      <c r="F88" s="20">
        <v>84</v>
      </c>
      <c r="G88" s="13">
        <f ca="1"/>
        <v>9.6661999999999998E-2</v>
      </c>
      <c r="H88" s="13">
        <f ca="1"/>
        <v>5.4890000000000001E-2</v>
      </c>
    </row>
    <row r="89" spans="1:8">
      <c r="A89" s="20">
        <v>85</v>
      </c>
      <c r="B89" s="21">
        <v>0.11647200000000001</v>
      </c>
      <c r="C89" s="22">
        <v>9.2534000000000005E-2</v>
      </c>
      <c r="D89" s="21">
        <v>0.11067399999999999</v>
      </c>
      <c r="E89" s="22">
        <v>8.3628999999999995E-2</v>
      </c>
      <c r="F89" s="20">
        <v>85</v>
      </c>
      <c r="G89" s="13">
        <f ca="1"/>
        <v>0.103614</v>
      </c>
      <c r="H89" s="13">
        <f ca="1"/>
        <v>6.3557000000000002E-2</v>
      </c>
    </row>
    <row r="90" spans="1:8">
      <c r="A90" s="20">
        <v>86</v>
      </c>
      <c r="B90" s="21">
        <v>0.12548899999999999</v>
      </c>
      <c r="C90" s="22">
        <v>0.103852</v>
      </c>
      <c r="D90" s="21">
        <v>0.11883100000000001</v>
      </c>
      <c r="E90" s="22">
        <v>9.4214000000000006E-2</v>
      </c>
      <c r="F90" s="20">
        <v>86</v>
      </c>
      <c r="G90" s="13">
        <f ca="1"/>
        <v>0.11067399999999999</v>
      </c>
      <c r="H90" s="13">
        <f ca="1"/>
        <v>7.3207999999999995E-2</v>
      </c>
    </row>
    <row r="91" spans="1:8">
      <c r="A91" s="20">
        <v>87</v>
      </c>
      <c r="B91" s="21">
        <v>0.13506399999999999</v>
      </c>
      <c r="C91" s="22">
        <v>0.115687</v>
      </c>
      <c r="D91" s="21">
        <v>0.12736700000000001</v>
      </c>
      <c r="E91" s="22">
        <v>0.105352</v>
      </c>
      <c r="F91" s="20">
        <v>87</v>
      </c>
      <c r="G91" s="13">
        <f ca="1"/>
        <v>0.11883100000000001</v>
      </c>
      <c r="H91" s="13">
        <f ca="1"/>
        <v>8.3628999999999995E-2</v>
      </c>
    </row>
    <row r="92" spans="1:8">
      <c r="A92" s="20">
        <v>88</v>
      </c>
      <c r="B92" s="21">
        <v>0.14519599999999999</v>
      </c>
      <c r="C92" s="22">
        <v>0.12814800000000001</v>
      </c>
      <c r="D92" s="21">
        <v>0.136349</v>
      </c>
      <c r="E92" s="22">
        <v>0.117174</v>
      </c>
      <c r="F92" s="20">
        <v>88</v>
      </c>
      <c r="G92" s="13">
        <f ca="1"/>
        <v>0.12736700000000001</v>
      </c>
      <c r="H92" s="13">
        <f ca="1"/>
        <v>9.4214000000000006E-2</v>
      </c>
    </row>
    <row r="93" spans="1:8">
      <c r="A93" s="20">
        <v>89</v>
      </c>
      <c r="B93" s="21">
        <v>0.15595899999999999</v>
      </c>
      <c r="C93" s="22">
        <v>0.14124500000000001</v>
      </c>
      <c r="D93" s="21">
        <v>0.14587</v>
      </c>
      <c r="E93" s="22">
        <v>0.12970400000000001</v>
      </c>
      <c r="F93" s="20">
        <v>89</v>
      </c>
      <c r="G93" s="13">
        <f ca="1"/>
        <v>0.136349</v>
      </c>
      <c r="H93" s="13">
        <f ca="1"/>
        <v>0.105352</v>
      </c>
    </row>
    <row r="94" spans="1:8">
      <c r="A94" s="20">
        <v>90</v>
      </c>
      <c r="B94" s="21">
        <v>0.167458</v>
      </c>
      <c r="C94" s="22">
        <v>0.15495500000000001</v>
      </c>
      <c r="D94" s="21">
        <v>0.156053</v>
      </c>
      <c r="E94" s="22">
        <v>0.14292099999999999</v>
      </c>
      <c r="F94" s="20">
        <v>90</v>
      </c>
      <c r="G94" s="13">
        <f ca="1"/>
        <v>0.14587</v>
      </c>
      <c r="H94" s="13">
        <f ca="1"/>
        <v>0.117174</v>
      </c>
    </row>
    <row r="95" spans="1:8">
      <c r="A95" s="20">
        <v>91</v>
      </c>
      <c r="B95" s="21">
        <v>0.179812</v>
      </c>
      <c r="C95" s="22">
        <v>0.16925100000000001</v>
      </c>
      <c r="D95" s="21">
        <v>0.16700499999999999</v>
      </c>
      <c r="E95" s="22">
        <v>0.15670100000000001</v>
      </c>
      <c r="F95" s="20">
        <v>91</v>
      </c>
      <c r="G95" s="13">
        <f ca="1"/>
        <v>0.156053</v>
      </c>
      <c r="H95" s="13">
        <f ca="1"/>
        <v>0.12970400000000001</v>
      </c>
    </row>
    <row r="96" spans="1:8">
      <c r="A96" s="20">
        <v>92</v>
      </c>
      <c r="B96" s="21">
        <v>0.193049</v>
      </c>
      <c r="C96" s="22">
        <v>0.18396100000000001</v>
      </c>
      <c r="D96" s="21">
        <v>0.178783</v>
      </c>
      <c r="E96" s="22">
        <v>0.17113800000000001</v>
      </c>
      <c r="F96" s="20">
        <v>92</v>
      </c>
      <c r="G96" s="13">
        <f ca="1"/>
        <v>0.16700499999999999</v>
      </c>
      <c r="H96" s="13">
        <f ca="1"/>
        <v>0.14292099999999999</v>
      </c>
    </row>
    <row r="97" spans="1:8">
      <c r="A97" s="20">
        <v>93</v>
      </c>
      <c r="B97" s="21">
        <v>0.20707300000000001</v>
      </c>
      <c r="C97" s="22">
        <v>0.19884399999999999</v>
      </c>
      <c r="D97" s="21">
        <v>0.19125</v>
      </c>
      <c r="E97" s="22">
        <v>0.18562500000000001</v>
      </c>
      <c r="F97" s="20">
        <v>93</v>
      </c>
      <c r="G97" s="13">
        <f ca="1"/>
        <v>0.178783</v>
      </c>
      <c r="H97" s="13">
        <f ca="1"/>
        <v>0.15670100000000001</v>
      </c>
    </row>
    <row r="98" spans="1:8">
      <c r="A98" s="20">
        <v>94</v>
      </c>
      <c r="B98" s="21">
        <v>0.22164800000000001</v>
      </c>
      <c r="C98" s="22">
        <v>0.21366399999999999</v>
      </c>
      <c r="D98" s="21">
        <v>0.20410300000000001</v>
      </c>
      <c r="E98" s="22">
        <v>0.19994799999999999</v>
      </c>
      <c r="F98" s="20">
        <v>94</v>
      </c>
      <c r="G98" s="13">
        <f ca="1"/>
        <v>0.19125</v>
      </c>
      <c r="H98" s="13">
        <f ca="1"/>
        <v>0.17113800000000001</v>
      </c>
    </row>
    <row r="99" spans="1:8">
      <c r="A99" s="20">
        <v>95</v>
      </c>
      <c r="B99" s="21">
        <v>0.23639299999999999</v>
      </c>
      <c r="C99" s="22">
        <v>0.228073</v>
      </c>
      <c r="D99" s="21">
        <v>0.21684800000000001</v>
      </c>
      <c r="E99" s="22">
        <v>0.21362800000000001</v>
      </c>
      <c r="F99" s="20">
        <v>95</v>
      </c>
      <c r="G99" s="13">
        <f ca="1"/>
        <v>0.20410300000000001</v>
      </c>
      <c r="H99" s="13">
        <f ca="1"/>
        <v>0.18562500000000001</v>
      </c>
    </row>
    <row r="100" spans="1:8">
      <c r="A100" s="20">
        <v>96</v>
      </c>
      <c r="B100" s="21">
        <v>0.24938199999999999</v>
      </c>
      <c r="C100" s="22">
        <v>0.24334700000000001</v>
      </c>
      <c r="D100" s="21">
        <v>0.22756499999999999</v>
      </c>
      <c r="E100" s="22">
        <v>0.22773299999999999</v>
      </c>
      <c r="F100" s="20">
        <v>96</v>
      </c>
      <c r="G100" s="13">
        <f ca="1"/>
        <v>0.21684800000000001</v>
      </c>
      <c r="H100" s="13">
        <f ca="1"/>
        <v>0.19994799999999999</v>
      </c>
    </row>
    <row r="101" spans="1:8">
      <c r="A101" s="20">
        <v>97</v>
      </c>
      <c r="B101" s="21">
        <v>0.26180700000000001</v>
      </c>
      <c r="C101" s="22">
        <v>0.25798300000000002</v>
      </c>
      <c r="D101" s="21">
        <v>0.237257</v>
      </c>
      <c r="E101" s="22">
        <v>0.24073900000000001</v>
      </c>
      <c r="F101" s="20">
        <v>97</v>
      </c>
      <c r="G101" s="13">
        <f ca="1"/>
        <v>0.22756499999999999</v>
      </c>
      <c r="H101" s="13">
        <f ca="1"/>
        <v>0.21362800000000001</v>
      </c>
    </row>
    <row r="102" spans="1:8">
      <c r="A102" s="20">
        <v>98</v>
      </c>
      <c r="B102" s="21">
        <v>0.273532</v>
      </c>
      <c r="C102" s="22">
        <v>0.27188400000000001</v>
      </c>
      <c r="D102" s="21">
        <v>0.24571999999999999</v>
      </c>
      <c r="E102" s="22">
        <v>0.25241400000000003</v>
      </c>
      <c r="F102" s="20">
        <v>98</v>
      </c>
      <c r="G102" s="13">
        <f ca="1"/>
        <v>0.237257</v>
      </c>
      <c r="H102" s="13">
        <f ca="1"/>
        <v>0.22773299999999999</v>
      </c>
    </row>
    <row r="103" spans="1:8">
      <c r="A103" s="20">
        <v>99</v>
      </c>
      <c r="B103" s="21">
        <v>0.28447499999999998</v>
      </c>
      <c r="C103" s="22">
        <v>0.28487400000000002</v>
      </c>
      <c r="D103" s="21">
        <v>0.25282900000000003</v>
      </c>
      <c r="E103" s="22">
        <v>0.26263999999999998</v>
      </c>
      <c r="F103" s="20">
        <v>99</v>
      </c>
      <c r="G103" s="13">
        <f ca="1"/>
        <v>0.24571999999999999</v>
      </c>
      <c r="H103" s="13">
        <f ca="1"/>
        <v>0.24073900000000001</v>
      </c>
    </row>
    <row r="104" spans="1:8">
      <c r="A104" s="23">
        <v>100</v>
      </c>
      <c r="B104" s="24">
        <v>1</v>
      </c>
      <c r="C104" s="25">
        <v>1</v>
      </c>
      <c r="D104" s="24">
        <v>1</v>
      </c>
      <c r="E104" s="25">
        <v>1</v>
      </c>
      <c r="F104" s="23">
        <v>100</v>
      </c>
      <c r="G104" s="13">
        <f ca="1"/>
        <v>0.25282900000000003</v>
      </c>
      <c r="H104" s="13">
        <f ca="1"/>
        <v>0.25241400000000003</v>
      </c>
    </row>
  </sheetData>
  <mergeCells count="1">
    <mergeCell ref="A1:E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Roman,Standard"&amp;12&amp;A</oddHeader>
    <oddFooter>&amp;C&amp;"Times New Roman,Standard"&amp;12Seite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117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K4" sqref="K4"/>
    </sheetView>
  </sheetViews>
  <sheetFormatPr baseColWidth="10" defaultColWidth="9.140625" defaultRowHeight="12.75"/>
  <cols>
    <col min="1" max="1" width="6.85546875" style="33"/>
    <col min="2" max="11" width="11.28515625" style="33"/>
    <col min="12" max="191" width="10.7109375" style="34"/>
    <col min="192" max="238" width="10.7109375" style="35"/>
    <col min="239" max="1025" width="10.7109375"/>
  </cols>
  <sheetData>
    <row r="1" spans="1:1024" ht="33.950000000000003" customHeight="1">
      <c r="A1" s="11" t="s">
        <v>18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</row>
    <row r="2" spans="1:1024">
      <c r="B2" s="9" t="s">
        <v>16</v>
      </c>
      <c r="C2" s="9"/>
      <c r="D2" s="9"/>
      <c r="E2" s="9"/>
      <c r="F2" s="9"/>
      <c r="G2" s="8" t="s">
        <v>17</v>
      </c>
      <c r="H2" s="8"/>
      <c r="I2" s="8"/>
      <c r="J2" s="8"/>
      <c r="K2" s="8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</row>
    <row r="3" spans="1:1024" s="40" customFormat="1">
      <c r="A3" s="36" t="s">
        <v>1</v>
      </c>
      <c r="B3" s="37" t="s">
        <v>19</v>
      </c>
      <c r="C3" s="38" t="s">
        <v>20</v>
      </c>
      <c r="D3" s="38" t="s">
        <v>21</v>
      </c>
      <c r="E3" s="37" t="s">
        <v>22</v>
      </c>
      <c r="F3" s="37" t="s">
        <v>23</v>
      </c>
      <c r="G3" s="39" t="s">
        <v>24</v>
      </c>
      <c r="H3" s="38" t="s">
        <v>25</v>
      </c>
      <c r="I3" s="38" t="s">
        <v>26</v>
      </c>
      <c r="J3" s="39" t="s">
        <v>27</v>
      </c>
      <c r="K3" s="39" t="s">
        <v>28</v>
      </c>
      <c r="ALR3"/>
      <c r="ALS3"/>
      <c r="ALT3"/>
      <c r="ALU3"/>
      <c r="ALV3"/>
      <c r="ALW3"/>
      <c r="ALX3"/>
      <c r="ALY3"/>
      <c r="ALZ3"/>
      <c r="AMA3"/>
      <c r="AMB3"/>
      <c r="AMC3"/>
      <c r="AMD3"/>
      <c r="AME3"/>
      <c r="AMF3"/>
      <c r="AMG3"/>
      <c r="AMH3"/>
      <c r="AMI3"/>
      <c r="AMJ3"/>
    </row>
    <row r="4" spans="1:1024">
      <c r="A4" s="41">
        <v>0</v>
      </c>
      <c r="B4" s="42">
        <v>8.4685999999999997E-3</v>
      </c>
      <c r="C4" s="43">
        <v>4.5780839322034E-2</v>
      </c>
      <c r="D4" s="44">
        <v>6.2792362000000004E-2</v>
      </c>
      <c r="E4" s="45">
        <v>0.8</v>
      </c>
      <c r="F4" s="44">
        <v>0.8</v>
      </c>
      <c r="G4" s="42">
        <v>6.7104E-3</v>
      </c>
      <c r="H4" s="43">
        <v>4.9763218294738003E-2</v>
      </c>
      <c r="I4" s="44">
        <v>4.9763218294738003E-2</v>
      </c>
      <c r="J4" s="45">
        <v>0.8</v>
      </c>
      <c r="K4" s="44">
        <v>0.8</v>
      </c>
    </row>
    <row r="5" spans="1:1024">
      <c r="A5" s="46">
        <v>1</v>
      </c>
      <c r="B5" s="47">
        <v>5.4770000000000003E-4</v>
      </c>
      <c r="C5" s="48">
        <v>4.5562499133389597E-2</v>
      </c>
      <c r="D5" s="49">
        <v>4.6734645999999998E-2</v>
      </c>
      <c r="E5" s="50">
        <v>0.8</v>
      </c>
      <c r="F5" s="49">
        <v>0.8</v>
      </c>
      <c r="G5" s="47">
        <v>5.1550000000000001E-4</v>
      </c>
      <c r="H5" s="48">
        <v>4.6358899845151798E-2</v>
      </c>
      <c r="I5" s="49">
        <v>4.6358899845151798E-2</v>
      </c>
      <c r="J5" s="50">
        <v>0.8</v>
      </c>
      <c r="K5" s="49">
        <v>0.8</v>
      </c>
    </row>
    <row r="6" spans="1:1024">
      <c r="A6" s="46">
        <v>2</v>
      </c>
      <c r="B6" s="47">
        <v>4.5389999999999997E-4</v>
      </c>
      <c r="C6" s="48">
        <v>4.4558938362677103E-2</v>
      </c>
      <c r="D6" s="49">
        <v>4.6695543999999999E-2</v>
      </c>
      <c r="E6" s="50">
        <v>0.8</v>
      </c>
      <c r="F6" s="49">
        <v>0.8</v>
      </c>
      <c r="G6" s="47">
        <v>4.1169999999999998E-4</v>
      </c>
      <c r="H6" s="48">
        <v>4.5568312499515998E-2</v>
      </c>
      <c r="I6" s="49">
        <v>4.5568312499515998E-2</v>
      </c>
      <c r="J6" s="50">
        <v>0.8</v>
      </c>
      <c r="K6" s="49">
        <v>0.8</v>
      </c>
    </row>
    <row r="7" spans="1:1024">
      <c r="A7" s="46">
        <v>3</v>
      </c>
      <c r="B7" s="47">
        <v>3.7389999999999998E-4</v>
      </c>
      <c r="C7" s="48">
        <v>4.2966357231724303E-2</v>
      </c>
      <c r="D7" s="49">
        <v>4.6656441999999999E-2</v>
      </c>
      <c r="E7" s="50">
        <v>0.8</v>
      </c>
      <c r="F7" s="49">
        <v>0.8</v>
      </c>
      <c r="G7" s="47">
        <v>3.1750000000000002E-4</v>
      </c>
      <c r="H7" s="48">
        <v>4.4453791013854001E-2</v>
      </c>
      <c r="I7" s="49">
        <v>4.4453791013854001E-2</v>
      </c>
      <c r="J7" s="50">
        <v>0.8</v>
      </c>
      <c r="K7" s="49">
        <v>0.8</v>
      </c>
    </row>
    <row r="8" spans="1:1024">
      <c r="A8" s="46">
        <v>4</v>
      </c>
      <c r="B8" s="47">
        <v>3.0860000000000002E-4</v>
      </c>
      <c r="C8" s="48">
        <v>4.10116158440628E-2</v>
      </c>
      <c r="D8" s="49">
        <v>4.6617341E-2</v>
      </c>
      <c r="E8" s="50">
        <v>0.8</v>
      </c>
      <c r="F8" s="49">
        <v>0.8</v>
      </c>
      <c r="G8" s="47">
        <v>2.377E-4</v>
      </c>
      <c r="H8" s="48">
        <v>4.3126087611245902E-2</v>
      </c>
      <c r="I8" s="49">
        <v>4.3126087611245902E-2</v>
      </c>
      <c r="J8" s="50">
        <v>0.8</v>
      </c>
      <c r="K8" s="49">
        <v>0.8</v>
      </c>
    </row>
    <row r="9" spans="1:1024">
      <c r="A9" s="46">
        <v>5</v>
      </c>
      <c r="B9" s="47">
        <v>2.5710000000000002E-4</v>
      </c>
      <c r="C9" s="48">
        <v>3.8956249388648202E-2</v>
      </c>
      <c r="D9" s="49">
        <v>4.6578239E-2</v>
      </c>
      <c r="E9" s="50">
        <v>0.8</v>
      </c>
      <c r="F9" s="49">
        <v>0.8</v>
      </c>
      <c r="G9" s="47">
        <v>1.8029999999999999E-4</v>
      </c>
      <c r="H9" s="48">
        <v>4.1705875620581097E-2</v>
      </c>
      <c r="I9" s="49">
        <v>4.1705875620581097E-2</v>
      </c>
      <c r="J9" s="50">
        <v>0.8</v>
      </c>
      <c r="K9" s="49">
        <v>0.8</v>
      </c>
    </row>
    <row r="10" spans="1:1024">
      <c r="A10" s="46">
        <v>6</v>
      </c>
      <c r="B10" s="47">
        <v>2.165E-4</v>
      </c>
      <c r="C10" s="48">
        <v>3.7100918462187701E-2</v>
      </c>
      <c r="D10" s="49">
        <v>4.6539137000000001E-2</v>
      </c>
      <c r="E10" s="50">
        <v>0.8</v>
      </c>
      <c r="F10" s="49">
        <v>0.8</v>
      </c>
      <c r="G10" s="47">
        <v>1.4129999999999999E-4</v>
      </c>
      <c r="H10" s="48">
        <v>4.0324857372786398E-2</v>
      </c>
      <c r="I10" s="49">
        <v>4.0324857372786398E-2</v>
      </c>
      <c r="J10" s="50">
        <v>0.8</v>
      </c>
      <c r="K10" s="49">
        <v>0.8</v>
      </c>
    </row>
    <row r="11" spans="1:1024">
      <c r="A11" s="46">
        <v>7</v>
      </c>
      <c r="B11" s="47">
        <v>1.897E-4</v>
      </c>
      <c r="C11" s="48">
        <v>3.5790301824368202E-2</v>
      </c>
      <c r="D11" s="49">
        <v>4.6500036000000002E-2</v>
      </c>
      <c r="E11" s="50">
        <v>0.8</v>
      </c>
      <c r="F11" s="49">
        <v>0.8</v>
      </c>
      <c r="G11" s="47">
        <v>1.183E-4</v>
      </c>
      <c r="H11" s="48">
        <v>3.9126975322244399E-2</v>
      </c>
      <c r="I11" s="49">
        <v>3.9126975322244399E-2</v>
      </c>
      <c r="J11" s="50">
        <v>0.8</v>
      </c>
      <c r="K11" s="49">
        <v>0.8</v>
      </c>
    </row>
    <row r="12" spans="1:1024">
      <c r="A12" s="46">
        <v>8</v>
      </c>
      <c r="B12" s="47">
        <v>1.6770000000000001E-4</v>
      </c>
      <c r="C12" s="48">
        <v>3.5418452426266997E-2</v>
      </c>
      <c r="D12" s="49">
        <v>4.6460934000000002E-2</v>
      </c>
      <c r="E12" s="50">
        <v>0.8</v>
      </c>
      <c r="F12" s="49">
        <v>0.8</v>
      </c>
      <c r="G12" s="47">
        <v>1.066E-4</v>
      </c>
      <c r="H12" s="48">
        <v>3.8269717317477102E-2</v>
      </c>
      <c r="I12" s="49">
        <v>3.8269717317477102E-2</v>
      </c>
      <c r="J12" s="50">
        <v>0.8</v>
      </c>
      <c r="K12" s="49">
        <v>0.8</v>
      </c>
    </row>
    <row r="13" spans="1:1024">
      <c r="A13" s="46">
        <v>9</v>
      </c>
      <c r="B13" s="47">
        <v>1.5320000000000001E-4</v>
      </c>
      <c r="C13" s="48">
        <v>3.5463681285168802E-2</v>
      </c>
      <c r="D13" s="49">
        <v>4.6421832000000003E-2</v>
      </c>
      <c r="E13" s="50">
        <v>0.8</v>
      </c>
      <c r="F13" s="49">
        <v>0.8</v>
      </c>
      <c r="G13" s="47">
        <v>1.0119999999999999E-4</v>
      </c>
      <c r="H13" s="48">
        <v>3.7556307195988202E-2</v>
      </c>
      <c r="I13" s="49">
        <v>3.7556307195988202E-2</v>
      </c>
      <c r="J13" s="50">
        <v>0.8</v>
      </c>
      <c r="K13" s="49">
        <v>0.8</v>
      </c>
    </row>
    <row r="14" spans="1:1024">
      <c r="A14" s="46">
        <v>10</v>
      </c>
      <c r="B14" s="47">
        <v>1.495E-4</v>
      </c>
      <c r="C14" s="48">
        <v>3.50190955E-2</v>
      </c>
      <c r="D14" s="49">
        <v>4.6382729999999997E-2</v>
      </c>
      <c r="E14" s="50">
        <v>0.8</v>
      </c>
      <c r="F14" s="49">
        <v>0.8</v>
      </c>
      <c r="G14" s="47">
        <v>9.9199999999999999E-5</v>
      </c>
      <c r="H14" s="48">
        <v>3.667394928E-2</v>
      </c>
      <c r="I14" s="49">
        <v>3.6998400000000001E-2</v>
      </c>
      <c r="J14" s="50">
        <v>0.8</v>
      </c>
      <c r="K14" s="49">
        <v>0.8</v>
      </c>
    </row>
    <row r="15" spans="1:1024">
      <c r="A15" s="46">
        <v>11</v>
      </c>
      <c r="B15" s="47">
        <v>1.5650000000000001E-4</v>
      </c>
      <c r="C15" s="48">
        <v>3.3961967753471399E-2</v>
      </c>
      <c r="D15" s="49">
        <v>4.6343628999999997E-2</v>
      </c>
      <c r="E15" s="50">
        <v>0.8</v>
      </c>
      <c r="F15" s="49">
        <v>0.8</v>
      </c>
      <c r="G15" s="47">
        <v>1.005E-4</v>
      </c>
      <c r="H15" s="48">
        <v>3.56215813061646E-2</v>
      </c>
      <c r="I15" s="49">
        <v>3.6431999999999999E-2</v>
      </c>
      <c r="J15" s="50">
        <v>0.8</v>
      </c>
      <c r="K15" s="49">
        <v>0.8</v>
      </c>
    </row>
    <row r="16" spans="1:1024">
      <c r="A16" s="46">
        <v>12</v>
      </c>
      <c r="B16" s="47">
        <v>1.716E-4</v>
      </c>
      <c r="C16" s="48">
        <v>3.2199539044582302E-2</v>
      </c>
      <c r="D16" s="49">
        <v>4.6304526999999998E-2</v>
      </c>
      <c r="E16" s="50">
        <v>0.8</v>
      </c>
      <c r="F16" s="49">
        <v>0.8</v>
      </c>
      <c r="G16" s="47">
        <v>1.07E-4</v>
      </c>
      <c r="H16" s="48">
        <v>3.4404624979186102E-2</v>
      </c>
      <c r="I16" s="49">
        <v>3.5990399999999999E-2</v>
      </c>
      <c r="J16" s="50">
        <v>0.8</v>
      </c>
      <c r="K16" s="49">
        <v>0.8</v>
      </c>
    </row>
    <row r="17" spans="1:11">
      <c r="A17" s="46">
        <v>13</v>
      </c>
      <c r="B17" s="47">
        <v>1.9790000000000001E-4</v>
      </c>
      <c r="C17" s="48">
        <v>2.9672326643207899E-2</v>
      </c>
      <c r="D17" s="49">
        <v>4.6265424999999999E-2</v>
      </c>
      <c r="E17" s="50">
        <v>0.8</v>
      </c>
      <c r="F17" s="49">
        <v>0.8</v>
      </c>
      <c r="G17" s="47">
        <v>1.205E-4</v>
      </c>
      <c r="H17" s="48">
        <v>3.30356125475103E-2</v>
      </c>
      <c r="I17" s="49">
        <v>3.5616000000000002E-2</v>
      </c>
      <c r="J17" s="50">
        <v>0.8</v>
      </c>
      <c r="K17" s="49">
        <v>0.8</v>
      </c>
    </row>
    <row r="18" spans="1:11">
      <c r="A18" s="46">
        <v>14</v>
      </c>
      <c r="B18" s="47">
        <v>2.6200000000000003E-4</v>
      </c>
      <c r="C18" s="48">
        <v>2.6357509630484E-2</v>
      </c>
      <c r="D18" s="49">
        <v>4.5430811000000001E-2</v>
      </c>
      <c r="E18" s="50">
        <v>0.8</v>
      </c>
      <c r="F18" s="49">
        <v>0.8</v>
      </c>
      <c r="G18" s="47">
        <v>1.495E-4</v>
      </c>
      <c r="H18" s="48">
        <v>3.1564799999999997E-2</v>
      </c>
      <c r="I18" s="49">
        <v>3.5328508799999998E-2</v>
      </c>
      <c r="J18" s="50">
        <v>0.8</v>
      </c>
      <c r="K18" s="49">
        <v>0.8</v>
      </c>
    </row>
    <row r="19" spans="1:11">
      <c r="A19" s="46">
        <v>15</v>
      </c>
      <c r="B19" s="47">
        <v>3.9609999999999998E-4</v>
      </c>
      <c r="C19" s="48">
        <v>2.2272274196285701E-2</v>
      </c>
      <c r="D19" s="49">
        <v>4.3005172000000001E-2</v>
      </c>
      <c r="E19" s="50">
        <v>0.8</v>
      </c>
      <c r="F19" s="49">
        <v>0.8</v>
      </c>
      <c r="G19" s="47">
        <v>2.0699999999999999E-4</v>
      </c>
      <c r="H19" s="48">
        <v>3.0115200000000002E-2</v>
      </c>
      <c r="I19" s="49">
        <v>3.5079926400000003E-2</v>
      </c>
      <c r="J19" s="50">
        <v>0.8</v>
      </c>
      <c r="K19" s="49">
        <v>0.8</v>
      </c>
    </row>
    <row r="20" spans="1:11">
      <c r="A20" s="46">
        <v>16</v>
      </c>
      <c r="B20" s="47">
        <v>6.2370000000000004E-4</v>
      </c>
      <c r="C20" s="48">
        <v>1.9279999999999999E-2</v>
      </c>
      <c r="D20" s="49">
        <v>3.8988507999999998E-2</v>
      </c>
      <c r="E20" s="50">
        <v>0.8</v>
      </c>
      <c r="F20" s="49">
        <v>0.8</v>
      </c>
      <c r="G20" s="47">
        <v>2.8160000000000001E-4</v>
      </c>
      <c r="H20" s="48">
        <v>2.90592E-2</v>
      </c>
      <c r="I20" s="49">
        <v>3.4831344E-2</v>
      </c>
      <c r="J20" s="50">
        <v>0.8</v>
      </c>
      <c r="K20" s="49">
        <v>0.8</v>
      </c>
    </row>
    <row r="21" spans="1:11">
      <c r="A21" s="46">
        <v>17</v>
      </c>
      <c r="B21" s="47">
        <v>9.6239999999999997E-4</v>
      </c>
      <c r="C21" s="48">
        <v>1.7510000000000001E-2</v>
      </c>
      <c r="D21" s="49">
        <v>3.474E-2</v>
      </c>
      <c r="E21" s="50">
        <v>0.8</v>
      </c>
      <c r="F21" s="49">
        <v>0.8</v>
      </c>
      <c r="G21" s="47">
        <v>3.2939999999999998E-4</v>
      </c>
      <c r="H21" s="48">
        <v>2.8080000000000001E-2</v>
      </c>
      <c r="I21" s="49">
        <v>3.4582761599999998E-2</v>
      </c>
      <c r="J21" s="50">
        <v>0.8</v>
      </c>
      <c r="K21" s="49">
        <v>0.8</v>
      </c>
    </row>
    <row r="22" spans="1:11">
      <c r="A22" s="46">
        <v>18</v>
      </c>
      <c r="B22" s="47">
        <v>1.3468E-3</v>
      </c>
      <c r="C22" s="48">
        <v>1.6729999999999998E-2</v>
      </c>
      <c r="D22" s="49">
        <v>3.1899999999999998E-2</v>
      </c>
      <c r="E22" s="50">
        <v>0.8</v>
      </c>
      <c r="F22" s="49">
        <v>0.8</v>
      </c>
      <c r="G22" s="47">
        <v>3.7510000000000001E-4</v>
      </c>
      <c r="H22" s="48">
        <v>2.74848E-2</v>
      </c>
      <c r="I22" s="49">
        <v>3.4334179200000002E-2</v>
      </c>
      <c r="J22" s="50">
        <v>0.8</v>
      </c>
      <c r="K22" s="49">
        <v>0.8</v>
      </c>
    </row>
    <row r="23" spans="1:11">
      <c r="A23" s="46">
        <v>19</v>
      </c>
      <c r="B23" s="47">
        <v>1.5062000000000001E-3</v>
      </c>
      <c r="C23" s="48">
        <v>1.634E-2</v>
      </c>
      <c r="D23" s="49">
        <v>3.0630000000000001E-2</v>
      </c>
      <c r="E23" s="50">
        <v>0.8</v>
      </c>
      <c r="F23" s="49">
        <v>0.8</v>
      </c>
      <c r="G23" s="47">
        <v>4.0279999999999998E-4</v>
      </c>
      <c r="H23" s="48">
        <v>2.7158399999999999E-2</v>
      </c>
      <c r="I23" s="49">
        <v>3.40855968E-2</v>
      </c>
      <c r="J23" s="50">
        <v>0.8</v>
      </c>
      <c r="K23" s="49">
        <v>0.8</v>
      </c>
    </row>
    <row r="24" spans="1:11">
      <c r="A24" s="46">
        <v>20</v>
      </c>
      <c r="B24" s="47">
        <v>1.4672999999999999E-3</v>
      </c>
      <c r="C24" s="48">
        <v>1.6E-2</v>
      </c>
      <c r="D24" s="49">
        <v>3.0068540000000001E-2</v>
      </c>
      <c r="E24" s="50">
        <v>0.8</v>
      </c>
      <c r="F24" s="49">
        <v>0.8</v>
      </c>
      <c r="G24" s="47">
        <v>4.0470000000000002E-4</v>
      </c>
      <c r="H24" s="48">
        <v>2.680536E-2</v>
      </c>
      <c r="I24" s="49">
        <v>3.3837014399999997E-2</v>
      </c>
      <c r="J24" s="50">
        <v>0.8</v>
      </c>
      <c r="K24" s="49">
        <v>0.8</v>
      </c>
    </row>
    <row r="25" spans="1:11">
      <c r="A25" s="46">
        <v>21</v>
      </c>
      <c r="B25" s="47">
        <v>1.3738999999999999E-3</v>
      </c>
      <c r="C25" s="48">
        <v>1.5915459999999999E-2</v>
      </c>
      <c r="D25" s="49">
        <v>2.988563E-2</v>
      </c>
      <c r="E25" s="50">
        <v>0.8</v>
      </c>
      <c r="F25" s="49">
        <v>0.8</v>
      </c>
      <c r="G25" s="47">
        <v>3.8929999999999998E-4</v>
      </c>
      <c r="H25" s="48">
        <v>2.65969632E-2</v>
      </c>
      <c r="I25" s="49">
        <v>3.3588432000000001E-2</v>
      </c>
      <c r="J25" s="50">
        <v>0.8</v>
      </c>
      <c r="K25" s="49">
        <v>0.8</v>
      </c>
    </row>
    <row r="26" spans="1:11">
      <c r="A26" s="46">
        <v>22</v>
      </c>
      <c r="B26" s="47">
        <v>1.2821E-3</v>
      </c>
      <c r="C26" s="48">
        <v>1.5826960000000001E-2</v>
      </c>
      <c r="D26" s="49">
        <v>2.970619E-2</v>
      </c>
      <c r="E26" s="50">
        <v>0.8</v>
      </c>
      <c r="F26" s="49">
        <v>0.8</v>
      </c>
      <c r="G26" s="47">
        <v>3.6959999999999998E-4</v>
      </c>
      <c r="H26" s="48">
        <v>2.6386857600000001E-2</v>
      </c>
      <c r="I26" s="49">
        <v>3.3341615999999998E-2</v>
      </c>
      <c r="J26" s="50">
        <v>0.8</v>
      </c>
      <c r="K26" s="49">
        <v>0.8</v>
      </c>
    </row>
    <row r="27" spans="1:11">
      <c r="A27" s="46">
        <v>23</v>
      </c>
      <c r="B27" s="47">
        <v>1.2317000000000001E-3</v>
      </c>
      <c r="C27" s="48">
        <v>1.573457E-2</v>
      </c>
      <c r="D27" s="49">
        <v>2.9529980000000001E-2</v>
      </c>
      <c r="E27" s="50">
        <v>0.8</v>
      </c>
      <c r="F27" s="49">
        <v>0.8</v>
      </c>
      <c r="G27" s="47">
        <v>3.5530000000000002E-4</v>
      </c>
      <c r="H27" s="48">
        <v>2.6175033600000001E-2</v>
      </c>
      <c r="I27" s="49">
        <v>3.3096460799999998E-2</v>
      </c>
      <c r="J27" s="50">
        <v>0.8</v>
      </c>
      <c r="K27" s="49">
        <v>0.8</v>
      </c>
    </row>
    <row r="28" spans="1:11">
      <c r="A28" s="46">
        <v>24</v>
      </c>
      <c r="B28" s="47">
        <v>1.2003999999999999E-3</v>
      </c>
      <c r="C28" s="48">
        <v>1.5638349999999999E-2</v>
      </c>
      <c r="D28" s="49">
        <v>2.9356770000000001E-2</v>
      </c>
      <c r="E28" s="50">
        <v>0.8</v>
      </c>
      <c r="F28" s="49">
        <v>0.8</v>
      </c>
      <c r="G28" s="47">
        <v>3.4459999999999997E-4</v>
      </c>
      <c r="H28" s="48">
        <v>2.5961491199999999E-2</v>
      </c>
      <c r="I28" s="49">
        <v>3.2852860800000001E-2</v>
      </c>
      <c r="J28" s="50">
        <v>0.8</v>
      </c>
      <c r="K28" s="49">
        <v>0.8</v>
      </c>
    </row>
    <row r="29" spans="1:11">
      <c r="A29" s="46">
        <v>25</v>
      </c>
      <c r="B29" s="47">
        <v>1.1735999999999999E-3</v>
      </c>
      <c r="C29" s="48">
        <v>1.5538359999999999E-2</v>
      </c>
      <c r="D29" s="49">
        <v>2.9186320000000002E-2</v>
      </c>
      <c r="E29" s="50">
        <v>0.8</v>
      </c>
      <c r="F29" s="49">
        <v>0.8</v>
      </c>
      <c r="G29" s="47">
        <v>3.3829999999999998E-4</v>
      </c>
      <c r="H29" s="48">
        <v>2.5746201600000001E-2</v>
      </c>
      <c r="I29" s="49">
        <v>3.2610700800000003E-2</v>
      </c>
      <c r="J29" s="50">
        <v>0.8</v>
      </c>
      <c r="K29" s="49">
        <v>0.8</v>
      </c>
    </row>
    <row r="30" spans="1:11">
      <c r="A30" s="46">
        <v>26</v>
      </c>
      <c r="B30" s="47">
        <v>1.1590000000000001E-3</v>
      </c>
      <c r="C30" s="48">
        <v>1.5434669999999999E-2</v>
      </c>
      <c r="D30" s="49">
        <v>2.9018410000000001E-2</v>
      </c>
      <c r="E30" s="50">
        <v>0.8</v>
      </c>
      <c r="F30" s="49">
        <v>0.8</v>
      </c>
      <c r="G30" s="47">
        <v>3.501E-4</v>
      </c>
      <c r="H30" s="48">
        <v>2.55291552E-2</v>
      </c>
      <c r="I30" s="49">
        <v>3.2369875200000002E-2</v>
      </c>
      <c r="J30" s="50">
        <v>0.8</v>
      </c>
      <c r="K30" s="49">
        <v>0.8</v>
      </c>
    </row>
    <row r="31" spans="1:11">
      <c r="A31" s="46">
        <v>27</v>
      </c>
      <c r="B31" s="47">
        <v>1.1613999999999999E-3</v>
      </c>
      <c r="C31" s="48">
        <v>1.532733E-2</v>
      </c>
      <c r="D31" s="49">
        <v>2.8852800000000001E-2</v>
      </c>
      <c r="E31" s="50">
        <v>0.8</v>
      </c>
      <c r="F31" s="49">
        <v>0.8</v>
      </c>
      <c r="G31" s="47">
        <v>3.747E-4</v>
      </c>
      <c r="H31" s="48">
        <v>2.5310361600000001E-2</v>
      </c>
      <c r="I31" s="49">
        <v>3.21302688E-2</v>
      </c>
      <c r="J31" s="50">
        <v>0.8</v>
      </c>
      <c r="K31" s="49">
        <v>0.8</v>
      </c>
    </row>
    <row r="32" spans="1:11">
      <c r="A32" s="46">
        <v>28</v>
      </c>
      <c r="B32" s="47">
        <v>1.1766000000000001E-3</v>
      </c>
      <c r="C32" s="48">
        <v>1.521642E-2</v>
      </c>
      <c r="D32" s="49">
        <v>2.8689249999999999E-2</v>
      </c>
      <c r="E32" s="50">
        <v>0.8</v>
      </c>
      <c r="F32" s="49">
        <v>0.8</v>
      </c>
      <c r="G32" s="47">
        <v>4.0769999999999999E-4</v>
      </c>
      <c r="H32" s="48">
        <v>2.5089792E-2</v>
      </c>
      <c r="I32" s="49">
        <v>3.18917664E-2</v>
      </c>
      <c r="J32" s="50">
        <v>0.8</v>
      </c>
      <c r="K32" s="49">
        <v>0.8</v>
      </c>
    </row>
    <row r="33" spans="1:11">
      <c r="A33" s="46">
        <v>29</v>
      </c>
      <c r="B33" s="47">
        <v>1.2047E-3</v>
      </c>
      <c r="C33" s="48">
        <v>1.5102000000000001E-2</v>
      </c>
      <c r="D33" s="49">
        <v>2.8527540000000001E-2</v>
      </c>
      <c r="E33" s="50">
        <v>0.8</v>
      </c>
      <c r="F33" s="49">
        <v>0.8</v>
      </c>
      <c r="G33" s="47">
        <v>4.4129999999999999E-4</v>
      </c>
      <c r="H33" s="48">
        <v>2.48674368E-2</v>
      </c>
      <c r="I33" s="49">
        <v>3.1654271999999997E-2</v>
      </c>
      <c r="J33" s="50">
        <v>0.8</v>
      </c>
      <c r="K33" s="49">
        <v>0.8</v>
      </c>
    </row>
    <row r="34" spans="1:11">
      <c r="A34" s="46">
        <v>30</v>
      </c>
      <c r="B34" s="47">
        <v>1.2463999999999999E-3</v>
      </c>
      <c r="C34" s="48">
        <v>1.498413E-2</v>
      </c>
      <c r="D34" s="49">
        <v>2.8367429999999999E-2</v>
      </c>
      <c r="E34" s="50">
        <v>0.8</v>
      </c>
      <c r="F34" s="49">
        <v>0.8</v>
      </c>
      <c r="G34" s="47">
        <v>4.7189999999999998E-4</v>
      </c>
      <c r="H34" s="48">
        <v>2.4643305599999998E-2</v>
      </c>
      <c r="I34" s="49">
        <v>3.14176704E-2</v>
      </c>
      <c r="J34" s="50">
        <v>0.8</v>
      </c>
      <c r="K34" s="49">
        <v>0.8</v>
      </c>
    </row>
    <row r="35" spans="1:11">
      <c r="A35" s="46">
        <v>31</v>
      </c>
      <c r="B35" s="47">
        <v>1.3043E-3</v>
      </c>
      <c r="C35" s="48">
        <v>1.486287E-2</v>
      </c>
      <c r="D35" s="49">
        <v>2.8208690000000002E-2</v>
      </c>
      <c r="E35" s="50">
        <v>0.8</v>
      </c>
      <c r="F35" s="49">
        <v>0.8</v>
      </c>
      <c r="G35" s="47">
        <v>5.0980000000000003E-4</v>
      </c>
      <c r="H35" s="48">
        <v>2.4417359999999999E-2</v>
      </c>
      <c r="I35" s="49">
        <v>3.1181856000000001E-2</v>
      </c>
      <c r="J35" s="50">
        <v>0.8</v>
      </c>
      <c r="K35" s="49">
        <v>0.8</v>
      </c>
    </row>
    <row r="36" spans="1:11">
      <c r="A36" s="46">
        <v>32</v>
      </c>
      <c r="B36" s="47">
        <v>1.3837000000000001E-3</v>
      </c>
      <c r="C36" s="48">
        <v>1.4738289999999999E-2</v>
      </c>
      <c r="D36" s="49">
        <v>2.8051090000000001E-2</v>
      </c>
      <c r="E36" s="50">
        <v>0.8</v>
      </c>
      <c r="F36" s="49">
        <v>0.8</v>
      </c>
      <c r="G36" s="47">
        <v>5.5650000000000003E-4</v>
      </c>
      <c r="H36" s="48">
        <v>2.4189609599999998E-2</v>
      </c>
      <c r="I36" s="49">
        <v>3.0946703999999998E-2</v>
      </c>
      <c r="J36" s="50">
        <v>0.8</v>
      </c>
      <c r="K36" s="49">
        <v>0.8</v>
      </c>
    </row>
    <row r="37" spans="1:11">
      <c r="A37" s="46">
        <v>33</v>
      </c>
      <c r="B37" s="47">
        <v>1.4691000000000001E-3</v>
      </c>
      <c r="C37" s="48">
        <v>1.4610440000000001E-2</v>
      </c>
      <c r="D37" s="49">
        <v>2.7894390000000002E-2</v>
      </c>
      <c r="E37" s="50">
        <v>0.8</v>
      </c>
      <c r="F37" s="49">
        <v>0.8</v>
      </c>
      <c r="G37" s="47">
        <v>6.0559999999999998E-4</v>
      </c>
      <c r="H37" s="48">
        <v>2.39600352E-2</v>
      </c>
      <c r="I37" s="49">
        <v>3.0712128000000002E-2</v>
      </c>
      <c r="J37" s="50">
        <v>0.8</v>
      </c>
      <c r="K37" s="49">
        <v>0.8</v>
      </c>
    </row>
    <row r="38" spans="1:11">
      <c r="A38" s="46">
        <v>34</v>
      </c>
      <c r="B38" s="47">
        <v>1.5485E-3</v>
      </c>
      <c r="C38" s="48">
        <v>1.447941E-2</v>
      </c>
      <c r="D38" s="49">
        <v>2.773836E-2</v>
      </c>
      <c r="E38" s="50">
        <v>0.8</v>
      </c>
      <c r="F38" s="49">
        <v>0.8</v>
      </c>
      <c r="G38" s="47">
        <v>6.5499999999999998E-4</v>
      </c>
      <c r="H38" s="48">
        <v>2.3728627200000001E-2</v>
      </c>
      <c r="I38" s="49">
        <v>3.0477993599999999E-2</v>
      </c>
      <c r="J38" s="50">
        <v>0.8</v>
      </c>
      <c r="K38" s="49">
        <v>0.8</v>
      </c>
    </row>
    <row r="39" spans="1:11">
      <c r="A39" s="46">
        <v>35</v>
      </c>
      <c r="B39" s="47">
        <v>1.6245999999999999E-3</v>
      </c>
      <c r="C39" s="48">
        <v>1.434524E-2</v>
      </c>
      <c r="D39" s="49">
        <v>2.758277E-2</v>
      </c>
      <c r="E39" s="50">
        <v>0.8</v>
      </c>
      <c r="F39" s="49">
        <v>0.8</v>
      </c>
      <c r="G39" s="47">
        <v>7.1270000000000003E-4</v>
      </c>
      <c r="H39" s="48">
        <v>2.3495375999999998E-2</v>
      </c>
      <c r="I39" s="49">
        <v>3.02442144E-2</v>
      </c>
      <c r="J39" s="50">
        <v>0.8</v>
      </c>
      <c r="K39" s="49">
        <v>0.8</v>
      </c>
    </row>
    <row r="40" spans="1:11">
      <c r="A40" s="46">
        <v>36</v>
      </c>
      <c r="B40" s="47">
        <v>1.7037E-3</v>
      </c>
      <c r="C40" s="48">
        <v>1.4208E-2</v>
      </c>
      <c r="D40" s="49">
        <v>2.7427380000000001E-2</v>
      </c>
      <c r="E40" s="50">
        <v>0.8</v>
      </c>
      <c r="F40" s="49">
        <v>0.8</v>
      </c>
      <c r="G40" s="47">
        <v>7.8790000000000002E-4</v>
      </c>
      <c r="H40" s="48">
        <v>2.3260271999999999E-2</v>
      </c>
      <c r="I40" s="49">
        <v>3.00106656E-2</v>
      </c>
      <c r="J40" s="50">
        <v>0.8</v>
      </c>
      <c r="K40" s="49">
        <v>0.8</v>
      </c>
    </row>
    <row r="41" spans="1:11">
      <c r="A41" s="46">
        <v>37</v>
      </c>
      <c r="B41" s="47">
        <v>1.7987000000000001E-3</v>
      </c>
      <c r="C41" s="48">
        <v>1.406776E-2</v>
      </c>
      <c r="D41" s="49">
        <v>2.727197E-2</v>
      </c>
      <c r="E41" s="50">
        <v>0.8</v>
      </c>
      <c r="F41" s="49">
        <v>0.8</v>
      </c>
      <c r="G41" s="47">
        <v>8.7609999999999999E-4</v>
      </c>
      <c r="H41" s="48">
        <v>2.3023305599999998E-2</v>
      </c>
      <c r="I41" s="49">
        <v>2.9777232000000001E-2</v>
      </c>
      <c r="J41" s="50">
        <v>0.8</v>
      </c>
      <c r="K41" s="49">
        <v>0.8</v>
      </c>
    </row>
    <row r="42" spans="1:11">
      <c r="A42" s="46">
        <v>38</v>
      </c>
      <c r="B42" s="47">
        <v>1.941E-3</v>
      </c>
      <c r="C42" s="48">
        <v>1.3924570000000001E-2</v>
      </c>
      <c r="D42" s="49">
        <v>2.7116299999999999E-2</v>
      </c>
      <c r="E42" s="50">
        <v>0.8</v>
      </c>
      <c r="F42" s="49">
        <v>0.8</v>
      </c>
      <c r="G42" s="47">
        <v>9.7479999999999995E-4</v>
      </c>
      <c r="H42" s="48">
        <v>2.2784457599999999E-2</v>
      </c>
      <c r="I42" s="49">
        <v>2.9543827200000001E-2</v>
      </c>
      <c r="J42" s="50">
        <v>0.8</v>
      </c>
      <c r="K42" s="49">
        <v>0.8</v>
      </c>
    </row>
    <row r="43" spans="1:11">
      <c r="A43" s="46">
        <v>39</v>
      </c>
      <c r="B43" s="47">
        <v>2.1488000000000002E-3</v>
      </c>
      <c r="C43" s="48">
        <v>1.3778510000000001E-2</v>
      </c>
      <c r="D43" s="49">
        <v>2.696014E-2</v>
      </c>
      <c r="E43" s="50">
        <v>0.8</v>
      </c>
      <c r="F43" s="49">
        <v>0.8</v>
      </c>
      <c r="G43" s="47">
        <v>1.0854E-3</v>
      </c>
      <c r="H43" s="48">
        <v>2.2543737599999999E-2</v>
      </c>
      <c r="I43" s="49">
        <v>2.93103168E-2</v>
      </c>
      <c r="J43" s="50">
        <v>0.8</v>
      </c>
      <c r="K43" s="49">
        <v>0.8</v>
      </c>
    </row>
    <row r="44" spans="1:11">
      <c r="A44" s="46">
        <v>40</v>
      </c>
      <c r="B44" s="47">
        <v>2.4128999999999999E-3</v>
      </c>
      <c r="C44" s="48">
        <v>1.362963E-2</v>
      </c>
      <c r="D44" s="49">
        <v>2.6803250000000001E-2</v>
      </c>
      <c r="E44" s="50">
        <v>0.8</v>
      </c>
      <c r="F44" s="49">
        <v>0.8</v>
      </c>
      <c r="G44" s="47">
        <v>1.2084000000000001E-3</v>
      </c>
      <c r="H44" s="48">
        <v>2.23011168E-2</v>
      </c>
      <c r="I44" s="49">
        <v>2.9076604799999999E-2</v>
      </c>
      <c r="J44" s="50">
        <v>0.8</v>
      </c>
      <c r="K44" s="49">
        <v>0.8</v>
      </c>
    </row>
    <row r="45" spans="1:11">
      <c r="A45" s="46">
        <v>41</v>
      </c>
      <c r="B45" s="47">
        <v>2.7101999999999998E-3</v>
      </c>
      <c r="C45" s="48">
        <v>1.3478E-2</v>
      </c>
      <c r="D45" s="49">
        <v>2.66454E-2</v>
      </c>
      <c r="E45" s="50">
        <v>0.8</v>
      </c>
      <c r="F45" s="49">
        <v>0.8</v>
      </c>
      <c r="G45" s="47">
        <v>1.3512999999999999E-3</v>
      </c>
      <c r="H45" s="48">
        <v>2.2056585600000001E-2</v>
      </c>
      <c r="I45" s="49">
        <v>2.8842576000000002E-2</v>
      </c>
      <c r="J45" s="50">
        <v>0.8</v>
      </c>
      <c r="K45" s="49">
        <v>0.8</v>
      </c>
    </row>
    <row r="46" spans="1:11">
      <c r="A46" s="46">
        <v>42</v>
      </c>
      <c r="B46" s="47">
        <v>3.0179999999999998E-3</v>
      </c>
      <c r="C46" s="48">
        <v>1.3323679999999999E-2</v>
      </c>
      <c r="D46" s="49">
        <v>2.648636E-2</v>
      </c>
      <c r="E46" s="50">
        <v>0.8</v>
      </c>
      <c r="F46" s="49">
        <v>0.8</v>
      </c>
      <c r="G46" s="47">
        <v>1.5135999999999999E-3</v>
      </c>
      <c r="H46" s="48">
        <v>2.1810144E-2</v>
      </c>
      <c r="I46" s="49">
        <v>2.8608134399999999E-2</v>
      </c>
      <c r="J46" s="50">
        <v>0.8</v>
      </c>
      <c r="K46" s="49">
        <v>0.8</v>
      </c>
    </row>
    <row r="47" spans="1:11">
      <c r="A47" s="46">
        <v>43</v>
      </c>
      <c r="B47" s="47">
        <v>3.3313000000000001E-3</v>
      </c>
      <c r="C47" s="48">
        <v>1.316674E-2</v>
      </c>
      <c r="D47" s="49">
        <v>2.6325899999999999E-2</v>
      </c>
      <c r="E47" s="50">
        <v>0.8</v>
      </c>
      <c r="F47" s="49">
        <v>0.8</v>
      </c>
      <c r="G47" s="47">
        <v>1.6826E-3</v>
      </c>
      <c r="H47" s="48">
        <v>2.15617824E-2</v>
      </c>
      <c r="I47" s="49">
        <v>2.83731456E-2</v>
      </c>
      <c r="J47" s="50">
        <v>0.8</v>
      </c>
      <c r="K47" s="49">
        <v>0.8</v>
      </c>
    </row>
    <row r="48" spans="1:11">
      <c r="A48" s="46">
        <v>44</v>
      </c>
      <c r="B48" s="47">
        <v>3.6546999999999999E-3</v>
      </c>
      <c r="C48" s="48">
        <v>1.300724E-2</v>
      </c>
      <c r="D48" s="49">
        <v>2.6163780000000001E-2</v>
      </c>
      <c r="E48" s="50">
        <v>0.8</v>
      </c>
      <c r="F48" s="49">
        <v>0.8</v>
      </c>
      <c r="G48" s="47">
        <v>1.8488999999999999E-3</v>
      </c>
      <c r="H48" s="48">
        <v>2.1311472000000001E-2</v>
      </c>
      <c r="I48" s="49">
        <v>2.81375232E-2</v>
      </c>
      <c r="J48" s="50">
        <v>0.8</v>
      </c>
      <c r="K48" s="49">
        <v>0.8</v>
      </c>
    </row>
    <row r="49" spans="1:11">
      <c r="A49" s="46">
        <v>45</v>
      </c>
      <c r="B49" s="47">
        <v>3.9947999999999997E-3</v>
      </c>
      <c r="C49" s="48">
        <v>1.2845240000000001E-2</v>
      </c>
      <c r="D49" s="49">
        <v>2.599978E-2</v>
      </c>
      <c r="E49" s="50">
        <v>0.8</v>
      </c>
      <c r="F49" s="49">
        <v>0.8</v>
      </c>
      <c r="G49" s="47">
        <v>2.0111999999999999E-3</v>
      </c>
      <c r="H49" s="48">
        <v>2.1059222400000001E-2</v>
      </c>
      <c r="I49" s="49">
        <v>2.7901142399999999E-2</v>
      </c>
      <c r="J49" s="50">
        <v>0.8</v>
      </c>
      <c r="K49" s="49">
        <v>0.8</v>
      </c>
    </row>
    <row r="50" spans="1:11">
      <c r="A50" s="46">
        <v>46</v>
      </c>
      <c r="B50" s="47">
        <v>4.3518999999999997E-3</v>
      </c>
      <c r="C50" s="48">
        <v>1.2680800000000001E-2</v>
      </c>
      <c r="D50" s="49">
        <v>2.583365E-2</v>
      </c>
      <c r="E50" s="50">
        <v>0.8</v>
      </c>
      <c r="F50" s="49">
        <v>0.8</v>
      </c>
      <c r="G50" s="47">
        <v>2.1721000000000002E-3</v>
      </c>
      <c r="H50" s="48">
        <v>2.0805014399999999E-2</v>
      </c>
      <c r="I50" s="49">
        <v>2.7663897600000001E-2</v>
      </c>
      <c r="J50" s="50">
        <v>0.8</v>
      </c>
      <c r="K50" s="49">
        <v>0.8</v>
      </c>
    </row>
    <row r="51" spans="1:11">
      <c r="A51" s="46">
        <v>47</v>
      </c>
      <c r="B51" s="47">
        <v>4.7251000000000003E-3</v>
      </c>
      <c r="C51" s="48">
        <v>1.2514000000000001E-2</v>
      </c>
      <c r="D51" s="49">
        <v>2.5665170000000001E-2</v>
      </c>
      <c r="E51" s="50">
        <v>0.8</v>
      </c>
      <c r="F51" s="49">
        <v>0.8</v>
      </c>
      <c r="G51" s="47">
        <v>2.3381000000000001E-3</v>
      </c>
      <c r="H51" s="48">
        <v>2.0548838400000002E-2</v>
      </c>
      <c r="I51" s="49">
        <v>2.7425683199999999E-2</v>
      </c>
      <c r="J51" s="50">
        <v>0.8</v>
      </c>
      <c r="K51" s="49">
        <v>0.8</v>
      </c>
    </row>
    <row r="52" spans="1:11">
      <c r="A52" s="46">
        <v>48</v>
      </c>
      <c r="B52" s="47">
        <v>5.1126000000000001E-3</v>
      </c>
      <c r="C52" s="48">
        <v>1.2344890000000001E-2</v>
      </c>
      <c r="D52" s="49">
        <v>2.5494099999999999E-2</v>
      </c>
      <c r="E52" s="50">
        <v>0.8</v>
      </c>
      <c r="F52" s="49">
        <v>0.8</v>
      </c>
      <c r="G52" s="47">
        <v>2.5167000000000002E-3</v>
      </c>
      <c r="H52" s="48">
        <v>2.02906848E-2</v>
      </c>
      <c r="I52" s="49">
        <v>2.7186384000000001E-2</v>
      </c>
      <c r="J52" s="50">
        <v>0.8</v>
      </c>
      <c r="K52" s="49">
        <v>0.8</v>
      </c>
    </row>
    <row r="53" spans="1:11">
      <c r="A53" s="46">
        <v>49</v>
      </c>
      <c r="B53" s="47">
        <v>5.5209999999999999E-3</v>
      </c>
      <c r="C53" s="48">
        <v>1.217353E-2</v>
      </c>
      <c r="D53" s="49">
        <v>2.5320209999999999E-2</v>
      </c>
      <c r="E53" s="50">
        <v>0.8</v>
      </c>
      <c r="F53" s="49">
        <v>0.8</v>
      </c>
      <c r="G53" s="47">
        <v>2.7108000000000002E-3</v>
      </c>
      <c r="H53" s="48">
        <v>2.0030544000000001E-2</v>
      </c>
      <c r="I53" s="49">
        <v>2.69458944E-2</v>
      </c>
      <c r="J53" s="50">
        <v>0.8</v>
      </c>
      <c r="K53" s="49">
        <v>0.8</v>
      </c>
    </row>
    <row r="54" spans="1:11">
      <c r="A54" s="46">
        <v>50</v>
      </c>
      <c r="B54" s="47">
        <v>5.9700999999999999E-3</v>
      </c>
      <c r="C54" s="48">
        <v>1.2E-2</v>
      </c>
      <c r="D54" s="49">
        <v>2.5143269999999999E-2</v>
      </c>
      <c r="E54" s="50">
        <v>0.8</v>
      </c>
      <c r="F54" s="49">
        <v>0.8</v>
      </c>
      <c r="G54" s="47">
        <v>2.9237999999999998E-3</v>
      </c>
      <c r="H54" s="48">
        <v>1.9768406400000001E-2</v>
      </c>
      <c r="I54" s="49">
        <v>2.6704108800000001E-2</v>
      </c>
      <c r="J54" s="50">
        <v>0.8</v>
      </c>
      <c r="K54" s="49">
        <v>0.8</v>
      </c>
    </row>
    <row r="55" spans="1:11">
      <c r="A55" s="46">
        <v>51</v>
      </c>
      <c r="B55" s="47">
        <v>6.4825999999999998E-3</v>
      </c>
      <c r="C55" s="48">
        <v>1.1824350000000001E-2</v>
      </c>
      <c r="D55" s="49">
        <v>2.4963039999999999E-2</v>
      </c>
      <c r="E55" s="50">
        <v>0.78</v>
      </c>
      <c r="F55" s="49">
        <v>0.78</v>
      </c>
      <c r="G55" s="47">
        <v>3.1576E-3</v>
      </c>
      <c r="H55" s="48">
        <v>1.95042528E-2</v>
      </c>
      <c r="I55" s="49">
        <v>2.64609024E-2</v>
      </c>
      <c r="J55" s="50">
        <v>0.78</v>
      </c>
      <c r="K55" s="49">
        <v>0.78</v>
      </c>
    </row>
    <row r="56" spans="1:11">
      <c r="A56" s="46">
        <v>52</v>
      </c>
      <c r="B56" s="47">
        <v>7.0816000000000004E-3</v>
      </c>
      <c r="C56" s="48">
        <v>1.164665E-2</v>
      </c>
      <c r="D56" s="49">
        <v>2.4779300000000001E-2</v>
      </c>
      <c r="E56" s="50">
        <v>0.76</v>
      </c>
      <c r="F56" s="49">
        <v>0.76</v>
      </c>
      <c r="G56" s="47">
        <v>3.4169000000000001E-3</v>
      </c>
      <c r="H56" s="48">
        <v>1.9238083199999999E-2</v>
      </c>
      <c r="I56" s="49">
        <v>2.6216179199999998E-2</v>
      </c>
      <c r="J56" s="50">
        <v>0.76</v>
      </c>
      <c r="K56" s="49">
        <v>0.76</v>
      </c>
    </row>
    <row r="57" spans="1:11">
      <c r="A57" s="46">
        <v>53</v>
      </c>
      <c r="B57" s="47">
        <v>7.7816999999999999E-3</v>
      </c>
      <c r="C57" s="48">
        <v>1.146695E-2</v>
      </c>
      <c r="D57" s="49">
        <v>2.45918E-2</v>
      </c>
      <c r="E57" s="50">
        <v>0.74</v>
      </c>
      <c r="F57" s="49">
        <v>0.74</v>
      </c>
      <c r="G57" s="47">
        <v>3.7033000000000001E-3</v>
      </c>
      <c r="H57" s="48">
        <v>1.8969878400000001E-2</v>
      </c>
      <c r="I57" s="49">
        <v>2.5969823999999999E-2</v>
      </c>
      <c r="J57" s="50">
        <v>0.74</v>
      </c>
      <c r="K57" s="49">
        <v>0.74</v>
      </c>
    </row>
    <row r="58" spans="1:11">
      <c r="A58" s="46">
        <v>54</v>
      </c>
      <c r="B58" s="47">
        <v>8.5851E-3</v>
      </c>
      <c r="C58" s="48">
        <v>1.128533E-2</v>
      </c>
      <c r="D58" s="49">
        <v>2.440032E-2</v>
      </c>
      <c r="E58" s="50">
        <v>0.72</v>
      </c>
      <c r="F58" s="49">
        <v>0.72</v>
      </c>
      <c r="G58" s="47">
        <v>4.0175000000000002E-3</v>
      </c>
      <c r="H58" s="48">
        <v>1.8699638399999999E-2</v>
      </c>
      <c r="I58" s="49">
        <v>2.57217312E-2</v>
      </c>
      <c r="J58" s="50">
        <v>0.72</v>
      </c>
      <c r="K58" s="49">
        <v>0.72</v>
      </c>
    </row>
    <row r="59" spans="1:11">
      <c r="A59" s="46">
        <v>55</v>
      </c>
      <c r="B59" s="47">
        <v>9.4912999999999994E-3</v>
      </c>
      <c r="C59" s="48">
        <v>1.110185E-2</v>
      </c>
      <c r="D59" s="49">
        <v>2.4204630000000001E-2</v>
      </c>
      <c r="E59" s="50">
        <v>0.7</v>
      </c>
      <c r="F59" s="49">
        <v>0.7</v>
      </c>
      <c r="G59" s="47">
        <v>4.3607000000000003E-3</v>
      </c>
      <c r="H59" s="48">
        <v>1.8427343999999998E-2</v>
      </c>
      <c r="I59" s="49">
        <v>2.5471785600000001E-2</v>
      </c>
      <c r="J59" s="50">
        <v>0.7</v>
      </c>
      <c r="K59" s="49">
        <v>0.7</v>
      </c>
    </row>
    <row r="60" spans="1:11">
      <c r="A60" s="46">
        <v>56</v>
      </c>
      <c r="B60" s="47">
        <v>1.04969E-2</v>
      </c>
      <c r="C60" s="48">
        <v>1.091657E-2</v>
      </c>
      <c r="D60" s="49">
        <v>2.400449E-2</v>
      </c>
      <c r="E60" s="50">
        <v>0.68</v>
      </c>
      <c r="F60" s="49">
        <v>0.68</v>
      </c>
      <c r="G60" s="47">
        <v>4.7324000000000003E-3</v>
      </c>
      <c r="H60" s="48">
        <v>1.8152995200000001E-2</v>
      </c>
      <c r="I60" s="49">
        <v>2.5219881600000001E-2</v>
      </c>
      <c r="J60" s="50">
        <v>0.68</v>
      </c>
      <c r="K60" s="49">
        <v>0.68</v>
      </c>
    </row>
    <row r="61" spans="1:11">
      <c r="A61" s="46">
        <v>57</v>
      </c>
      <c r="B61" s="47">
        <v>1.1595299999999999E-2</v>
      </c>
      <c r="C61" s="48">
        <v>1.0729560000000001E-2</v>
      </c>
      <c r="D61" s="49">
        <v>2.379966E-2</v>
      </c>
      <c r="E61" s="50">
        <v>0.67</v>
      </c>
      <c r="F61" s="49">
        <v>0.66</v>
      </c>
      <c r="G61" s="47">
        <v>5.1322E-3</v>
      </c>
      <c r="H61" s="48">
        <v>1.7876572800000001E-2</v>
      </c>
      <c r="I61" s="49">
        <v>2.4965904000000001E-2</v>
      </c>
      <c r="J61" s="50">
        <v>0.67</v>
      </c>
      <c r="K61" s="49">
        <v>0.66</v>
      </c>
    </row>
    <row r="62" spans="1:11">
      <c r="A62" s="46">
        <v>58</v>
      </c>
      <c r="B62" s="47">
        <v>1.27831E-2</v>
      </c>
      <c r="C62" s="48">
        <v>1.0540870000000001E-2</v>
      </c>
      <c r="D62" s="49">
        <v>2.358992E-2</v>
      </c>
      <c r="E62" s="50">
        <v>0.67</v>
      </c>
      <c r="F62" s="49">
        <v>0.64</v>
      </c>
      <c r="G62" s="47">
        <v>5.5618999999999998E-3</v>
      </c>
      <c r="H62" s="48">
        <v>1.7598067200000001E-2</v>
      </c>
      <c r="I62" s="49">
        <v>2.47097472E-2</v>
      </c>
      <c r="J62" s="50">
        <v>0.67</v>
      </c>
      <c r="K62" s="49">
        <v>0.64</v>
      </c>
    </row>
    <row r="63" spans="1:11">
      <c r="A63" s="46">
        <v>59</v>
      </c>
      <c r="B63" s="47">
        <v>1.40661E-2</v>
      </c>
      <c r="C63" s="48">
        <v>1.035057E-2</v>
      </c>
      <c r="D63" s="49">
        <v>2.3375030000000002E-2</v>
      </c>
      <c r="E63" s="50">
        <v>0.67</v>
      </c>
      <c r="F63" s="49">
        <v>0.62</v>
      </c>
      <c r="G63" s="47">
        <v>6.0314000000000001E-3</v>
      </c>
      <c r="H63" s="48">
        <v>1.73174592E-2</v>
      </c>
      <c r="I63" s="49">
        <v>2.4451305600000001E-2</v>
      </c>
      <c r="J63" s="50">
        <v>0.67</v>
      </c>
      <c r="K63" s="49">
        <v>0.62</v>
      </c>
    </row>
    <row r="64" spans="1:11">
      <c r="A64" s="46">
        <v>60</v>
      </c>
      <c r="B64" s="47">
        <v>1.54529E-2</v>
      </c>
      <c r="C64" s="48">
        <v>1.0158729999999999E-2</v>
      </c>
      <c r="D64" s="49">
        <v>2.3154770000000002E-2</v>
      </c>
      <c r="E64" s="50">
        <v>0.67</v>
      </c>
      <c r="F64" s="49">
        <v>0.6</v>
      </c>
      <c r="G64" s="47">
        <v>6.5642000000000001E-3</v>
      </c>
      <c r="H64" s="48">
        <v>1.7034758399999999E-2</v>
      </c>
      <c r="I64" s="49">
        <v>2.4190463999999998E-2</v>
      </c>
      <c r="J64" s="50">
        <v>0.67</v>
      </c>
      <c r="K64" s="49">
        <v>0.6</v>
      </c>
    </row>
    <row r="65" spans="1:11">
      <c r="A65" s="46">
        <v>61</v>
      </c>
      <c r="B65" s="47">
        <v>1.6942200000000001E-2</v>
      </c>
      <c r="C65" s="48">
        <v>9.9654099999999992E-3</v>
      </c>
      <c r="D65" s="49">
        <v>2.292889E-2</v>
      </c>
      <c r="E65" s="50">
        <v>0.67567911000000003</v>
      </c>
      <c r="F65" s="49">
        <v>0.60649763694626901</v>
      </c>
      <c r="G65" s="47">
        <v>7.1846000000000002E-3</v>
      </c>
      <c r="H65" s="48">
        <v>1.67499456E-2</v>
      </c>
      <c r="I65" s="49">
        <v>2.3927116799999999E-2</v>
      </c>
      <c r="J65" s="50">
        <v>0.67018259000000002</v>
      </c>
      <c r="K65" s="49">
        <v>0.60156389496417895</v>
      </c>
    </row>
    <row r="66" spans="1:11">
      <c r="A66" s="46">
        <v>62</v>
      </c>
      <c r="B66" s="47">
        <v>1.8533399999999998E-2</v>
      </c>
      <c r="C66" s="48">
        <v>9.7706700000000004E-3</v>
      </c>
      <c r="D66" s="49">
        <v>2.2697160000000001E-2</v>
      </c>
      <c r="E66" s="50">
        <v>0.68138971000000004</v>
      </c>
      <c r="F66" s="49">
        <v>0.61304733908656694</v>
      </c>
      <c r="G66" s="47">
        <v>7.9051999999999994E-3</v>
      </c>
      <c r="H66" s="48">
        <v>1.6463011199999999E-2</v>
      </c>
      <c r="I66" s="49">
        <v>2.36611488E-2</v>
      </c>
      <c r="J66" s="50">
        <v>0.67058978999999996</v>
      </c>
      <c r="K66" s="49">
        <v>0.60333063494328398</v>
      </c>
    </row>
    <row r="67" spans="1:11">
      <c r="A67" s="46">
        <v>63</v>
      </c>
      <c r="B67" s="47">
        <v>2.0235199999999998E-2</v>
      </c>
      <c r="C67" s="48">
        <v>9.5745699999999993E-3</v>
      </c>
      <c r="D67" s="49">
        <v>2.2459360000000001E-2</v>
      </c>
      <c r="E67" s="50">
        <v>0.68713219000000003</v>
      </c>
      <c r="F67" s="49">
        <v>0.61964965551940299</v>
      </c>
      <c r="G67" s="47">
        <v>8.7341999999999993E-3</v>
      </c>
      <c r="H67" s="48">
        <v>1.6173936E-2</v>
      </c>
      <c r="I67" s="49">
        <v>2.3392454399999998E-2</v>
      </c>
      <c r="J67" s="50">
        <v>0.67122482999999999</v>
      </c>
      <c r="K67" s="49">
        <v>0.60530454072537299</v>
      </c>
    </row>
    <row r="68" spans="1:11">
      <c r="A68" s="46">
        <v>64</v>
      </c>
      <c r="B68" s="47">
        <v>2.2065600000000001E-2</v>
      </c>
      <c r="C68" s="48">
        <v>9.3771900000000005E-3</v>
      </c>
      <c r="D68" s="49">
        <v>2.2215249999999999E-2</v>
      </c>
      <c r="E68" s="50">
        <v>0.69290691999999998</v>
      </c>
      <c r="F68" s="49">
        <v>0.62630512052537302</v>
      </c>
      <c r="G68" s="47">
        <v>9.6810000000000004E-3</v>
      </c>
      <c r="H68" s="48">
        <v>1.58827104E-2</v>
      </c>
      <c r="I68" s="49">
        <v>2.3120918399999999E-2</v>
      </c>
      <c r="J68" s="50">
        <v>0.67209092999999998</v>
      </c>
      <c r="K68" s="49">
        <v>0.60748995105671599</v>
      </c>
    </row>
    <row r="69" spans="1:11">
      <c r="A69" s="46">
        <v>65</v>
      </c>
      <c r="B69" s="47">
        <v>2.4038500000000001E-2</v>
      </c>
      <c r="C69" s="48">
        <v>9.1785700000000005E-3</v>
      </c>
      <c r="D69" s="49">
        <v>2.1964589999999999E-2</v>
      </c>
      <c r="E69" s="50">
        <v>0.69871428999999996</v>
      </c>
      <c r="F69" s="49">
        <v>0.633014289597015</v>
      </c>
      <c r="G69" s="47">
        <v>1.07563E-2</v>
      </c>
      <c r="H69" s="48">
        <v>1.5589344E-2</v>
      </c>
      <c r="I69" s="49">
        <v>2.2846435200000001E-2</v>
      </c>
      <c r="J69" s="50">
        <v>0.67319130999999999</v>
      </c>
      <c r="K69" s="49">
        <v>0.60989123159701497</v>
      </c>
    </row>
    <row r="70" spans="1:11">
      <c r="A70" s="46">
        <v>66</v>
      </c>
      <c r="B70" s="47">
        <v>2.6166200000000001E-2</v>
      </c>
      <c r="C70" s="48">
        <v>8.9787900000000004E-3</v>
      </c>
      <c r="D70" s="49">
        <v>2.170716E-2</v>
      </c>
      <c r="E70" s="50">
        <v>0.70455467000000005</v>
      </c>
      <c r="F70" s="49">
        <v>0.63977770332537298</v>
      </c>
      <c r="G70" s="47">
        <v>1.19709E-2</v>
      </c>
      <c r="H70" s="48">
        <v>1.5293808000000001E-2</v>
      </c>
      <c r="I70" s="49">
        <v>2.2568899199999999E-2</v>
      </c>
      <c r="J70" s="50">
        <v>0.67452917999999995</v>
      </c>
      <c r="K70" s="49">
        <v>0.61251276583880598</v>
      </c>
    </row>
    <row r="71" spans="1:11">
      <c r="A71" s="46">
        <v>67</v>
      </c>
      <c r="B71" s="47">
        <v>2.84651E-2</v>
      </c>
      <c r="C71" s="48">
        <v>8.7779199999999998E-3</v>
      </c>
      <c r="D71" s="49">
        <v>2.1442719999999998E-2</v>
      </c>
      <c r="E71" s="50">
        <v>0.71042844000000005</v>
      </c>
      <c r="F71" s="49">
        <v>0.64659591449552201</v>
      </c>
      <c r="G71" s="47">
        <v>1.3339800000000001E-2</v>
      </c>
      <c r="H71" s="48">
        <v>1.4996092799999999E-2</v>
      </c>
      <c r="I71" s="49">
        <v>2.2288195199999999E-2</v>
      </c>
      <c r="J71" s="50">
        <v>0.67610778000000005</v>
      </c>
      <c r="K71" s="49">
        <v>0.615358991408955</v>
      </c>
    </row>
    <row r="72" spans="1:11">
      <c r="A72" s="46">
        <v>68</v>
      </c>
      <c r="B72" s="47">
        <v>3.0959799999999999E-2</v>
      </c>
      <c r="C72" s="48">
        <v>8.5760000000000003E-3</v>
      </c>
      <c r="D72" s="49">
        <v>2.1171039999999999E-2</v>
      </c>
      <c r="E72" s="50">
        <v>0.71633599999999997</v>
      </c>
      <c r="F72" s="49">
        <v>0.65346949731343296</v>
      </c>
      <c r="G72" s="47">
        <v>1.48837E-2</v>
      </c>
      <c r="H72" s="48">
        <v>1.4696188799999999E-2</v>
      </c>
      <c r="I72" s="49">
        <v>2.2004217600000001E-2</v>
      </c>
      <c r="J72" s="50">
        <v>0.67793031000000004</v>
      </c>
      <c r="K72" s="49">
        <v>0.61843433652537305</v>
      </c>
    </row>
    <row r="73" spans="1:11">
      <c r="A73" s="46">
        <v>69</v>
      </c>
      <c r="B73" s="47">
        <v>3.3657199999999998E-2</v>
      </c>
      <c r="C73" s="48">
        <v>8.3731099999999996E-3</v>
      </c>
      <c r="D73" s="49">
        <v>2.0891880000000002E-2</v>
      </c>
      <c r="E73" s="50">
        <v>0.72227770999999996</v>
      </c>
      <c r="F73" s="49">
        <v>0.66039899275522396</v>
      </c>
      <c r="G73" s="47">
        <v>1.66275E-2</v>
      </c>
      <c r="H73" s="48">
        <v>1.4394096E-2</v>
      </c>
      <c r="I73" s="49">
        <v>2.1716851200000001E-2</v>
      </c>
      <c r="J73" s="50">
        <v>0.68</v>
      </c>
      <c r="K73" s="49">
        <v>0.62174328358208997</v>
      </c>
    </row>
    <row r="74" spans="1:11">
      <c r="A74" s="46">
        <v>70</v>
      </c>
      <c r="B74" s="47">
        <v>3.6505900000000001E-2</v>
      </c>
      <c r="C74" s="48">
        <v>8.1693100000000008E-3</v>
      </c>
      <c r="D74" s="49">
        <v>2.0605020000000002E-2</v>
      </c>
      <c r="E74" s="50">
        <v>0.72825397000000003</v>
      </c>
      <c r="F74" s="49">
        <v>0.66738498146268699</v>
      </c>
      <c r="G74" s="47">
        <v>1.8600999999999999E-2</v>
      </c>
      <c r="H74" s="48">
        <v>1.40897952E-2</v>
      </c>
      <c r="I74" s="49">
        <v>2.1425990400000001E-2</v>
      </c>
      <c r="J74" s="50">
        <v>0.68232006999999995</v>
      </c>
      <c r="K74" s="49">
        <v>0.62529033280597002</v>
      </c>
    </row>
    <row r="75" spans="1:11">
      <c r="A75" s="46">
        <v>71</v>
      </c>
      <c r="B75" s="47">
        <v>3.9559400000000002E-2</v>
      </c>
      <c r="C75" s="48">
        <v>7.9646700000000001E-3</v>
      </c>
      <c r="D75" s="49">
        <v>2.0310209999999999E-2</v>
      </c>
      <c r="E75" s="50">
        <v>0.73426513999999998</v>
      </c>
      <c r="F75" s="49">
        <v>0.67442801068059699</v>
      </c>
      <c r="G75" s="47">
        <v>2.0841499999999999E-2</v>
      </c>
      <c r="H75" s="48">
        <v>1.3783267199999999E-2</v>
      </c>
      <c r="I75" s="49">
        <v>2.1131520000000001E-2</v>
      </c>
      <c r="J75" s="50">
        <v>0.68489374000000003</v>
      </c>
      <c r="K75" s="49">
        <v>0.62908001133731295</v>
      </c>
    </row>
    <row r="76" spans="1:11">
      <c r="A76" s="46">
        <v>72</v>
      </c>
      <c r="B76" s="47">
        <v>4.2995400000000003E-2</v>
      </c>
      <c r="C76" s="48">
        <v>7.7592399999999997E-3</v>
      </c>
      <c r="D76" s="49">
        <v>2.0007239999999999E-2</v>
      </c>
      <c r="E76" s="50">
        <v>0.74031161999999995</v>
      </c>
      <c r="F76" s="49">
        <v>0.68152866748656704</v>
      </c>
      <c r="G76" s="47">
        <v>2.3394100000000001E-2</v>
      </c>
      <c r="H76" s="48">
        <v>1.3474521600000001E-2</v>
      </c>
      <c r="I76" s="49">
        <v>2.08333344E-2</v>
      </c>
      <c r="J76" s="50">
        <v>0.68772422</v>
      </c>
      <c r="K76" s="49">
        <v>0.63311686402388101</v>
      </c>
    </row>
    <row r="77" spans="1:11">
      <c r="A77" s="46">
        <v>73</v>
      </c>
      <c r="B77" s="47">
        <v>4.7020800000000001E-2</v>
      </c>
      <c r="C77" s="48">
        <v>7.5530900000000002E-3</v>
      </c>
      <c r="D77" s="49">
        <v>1.9695859999999999E-2</v>
      </c>
      <c r="E77" s="50">
        <v>0.74639378000000001</v>
      </c>
      <c r="F77" s="49">
        <v>0.68868751462089595</v>
      </c>
      <c r="G77" s="47">
        <v>2.6311000000000001E-2</v>
      </c>
      <c r="H77" s="48">
        <v>1.3163539199999999E-2</v>
      </c>
      <c r="I77" s="49">
        <v>2.0531328000000001E-2</v>
      </c>
      <c r="J77" s="50">
        <v>0.69081475000000003</v>
      </c>
      <c r="K77" s="49">
        <v>0.63740549022388104</v>
      </c>
    </row>
    <row r="78" spans="1:11">
      <c r="A78" s="46">
        <v>74</v>
      </c>
      <c r="B78" s="47">
        <v>5.17327E-2</v>
      </c>
      <c r="C78" s="48">
        <v>7.3462900000000001E-3</v>
      </c>
      <c r="D78" s="49">
        <v>1.9375839999999998E-2</v>
      </c>
      <c r="E78" s="50">
        <v>0.75251199999999996</v>
      </c>
      <c r="F78" s="49">
        <v>0.69590512716417896</v>
      </c>
      <c r="G78" s="47">
        <v>2.9651799999999999E-2</v>
      </c>
      <c r="H78" s="48">
        <v>1.2850300800000001E-2</v>
      </c>
      <c r="I78" s="49">
        <v>2.02253856E-2</v>
      </c>
      <c r="J78" s="50">
        <v>0.69416853000000001</v>
      </c>
      <c r="K78" s="49">
        <v>0.64195047938507499</v>
      </c>
    </row>
    <row r="79" spans="1:11">
      <c r="A79" s="46">
        <v>75</v>
      </c>
      <c r="B79" s="47">
        <v>5.7115600000000002E-2</v>
      </c>
      <c r="C79" s="48">
        <v>7.1388900000000002E-3</v>
      </c>
      <c r="D79" s="49">
        <v>1.904695E-2</v>
      </c>
      <c r="E79" s="50">
        <v>0.75866666999999999</v>
      </c>
      <c r="F79" s="49">
        <v>0.70318209264179099</v>
      </c>
      <c r="G79" s="47">
        <v>3.3482100000000001E-2</v>
      </c>
      <c r="H79" s="48">
        <v>1.2534806399999999E-2</v>
      </c>
      <c r="I79" s="49">
        <v>1.99154016E-2</v>
      </c>
      <c r="J79" s="50">
        <v>0.69778879999999999</v>
      </c>
      <c r="K79" s="49">
        <v>0.64675648477611902</v>
      </c>
    </row>
    <row r="80" spans="1:11">
      <c r="A80" s="46">
        <v>76</v>
      </c>
      <c r="B80" s="47">
        <v>6.3104400000000005E-2</v>
      </c>
      <c r="C80" s="48">
        <v>6.9309599999999999E-3</v>
      </c>
      <c r="D80" s="49">
        <v>1.8708949999999998E-2</v>
      </c>
      <c r="E80" s="50">
        <v>0.76485815999999995</v>
      </c>
      <c r="F80" s="49">
        <v>0.71051898325970098</v>
      </c>
      <c r="G80" s="47">
        <v>3.78743E-2</v>
      </c>
      <c r="H80" s="48">
        <v>1.2217046400000001E-2</v>
      </c>
      <c r="I80" s="49">
        <v>1.9601260799999999E-2</v>
      </c>
      <c r="J80" s="50">
        <v>0.70167875999999996</v>
      </c>
      <c r="K80" s="49">
        <v>0.65182814958806001</v>
      </c>
    </row>
    <row r="81" spans="1:11">
      <c r="A81" s="46">
        <v>77</v>
      </c>
      <c r="B81" s="47">
        <v>6.9707400000000003E-2</v>
      </c>
      <c r="C81" s="48">
        <v>6.7225699999999998E-3</v>
      </c>
      <c r="D81" s="49">
        <v>1.8361619999999999E-2</v>
      </c>
      <c r="E81" s="50">
        <v>0.77108686000000004</v>
      </c>
      <c r="F81" s="49">
        <v>0.71791639293731302</v>
      </c>
      <c r="G81" s="47">
        <v>4.2909799999999998E-2</v>
      </c>
      <c r="H81" s="48">
        <v>1.18970016E-2</v>
      </c>
      <c r="I81" s="49">
        <v>1.9282857600000002E-2</v>
      </c>
      <c r="J81" s="50">
        <v>0.70584164000000005</v>
      </c>
      <c r="K81" s="49">
        <v>0.65717017168955205</v>
      </c>
    </row>
    <row r="82" spans="1:11">
      <c r="A82" s="46">
        <v>78</v>
      </c>
      <c r="B82" s="47">
        <v>7.6987799999999995E-2</v>
      </c>
      <c r="C82" s="48">
        <v>6.5137800000000003E-3</v>
      </c>
      <c r="D82" s="49">
        <v>1.800473E-2</v>
      </c>
      <c r="E82" s="50">
        <v>0.77735314</v>
      </c>
      <c r="F82" s="49">
        <v>0.725374900191045</v>
      </c>
      <c r="G82" s="47">
        <v>4.8681299999999997E-2</v>
      </c>
      <c r="H82" s="48">
        <v>1.1574671999999999E-2</v>
      </c>
      <c r="I82" s="49">
        <v>1.89600768E-2</v>
      </c>
      <c r="J82" s="50">
        <v>0.71028066000000001</v>
      </c>
      <c r="K82" s="49">
        <v>0.66278726661492504</v>
      </c>
    </row>
    <row r="83" spans="1:11">
      <c r="A83" s="46">
        <v>79</v>
      </c>
      <c r="B83" s="47">
        <v>8.5045200000000001E-2</v>
      </c>
      <c r="C83" s="48">
        <v>6.3046500000000002E-3</v>
      </c>
      <c r="D83" s="49">
        <v>1.7638029999999999E-2</v>
      </c>
      <c r="E83" s="50">
        <v>0.78365739999999995</v>
      </c>
      <c r="F83" s="49">
        <v>0.73289511468656698</v>
      </c>
      <c r="G83" s="47">
        <v>5.5294000000000003E-2</v>
      </c>
      <c r="H83" s="48">
        <v>1.1250038400000001E-2</v>
      </c>
      <c r="I83" s="49">
        <v>1.8632822399999999E-2</v>
      </c>
      <c r="J83" s="50">
        <v>0.71499904000000003</v>
      </c>
      <c r="K83" s="49">
        <v>0.66868417681194003</v>
      </c>
    </row>
    <row r="84" spans="1:11">
      <c r="A84" s="46">
        <v>80</v>
      </c>
      <c r="B84" s="47">
        <v>9.39633E-2</v>
      </c>
      <c r="C84" s="48">
        <v>6.09524E-3</v>
      </c>
      <c r="D84" s="49">
        <v>1.7261289999999999E-2</v>
      </c>
      <c r="E84" s="50">
        <v>0.79</v>
      </c>
      <c r="F84" s="49">
        <v>0.74047761194029804</v>
      </c>
      <c r="G84" s="47">
        <v>6.28663E-2</v>
      </c>
      <c r="H84" s="48">
        <v>1.09230912E-2</v>
      </c>
      <c r="I84" s="49">
        <v>1.8300969600000001E-2</v>
      </c>
      <c r="J84" s="50">
        <v>0.72</v>
      </c>
      <c r="K84" s="49">
        <v>0.67486567164179101</v>
      </c>
    </row>
    <row r="85" spans="1:11">
      <c r="A85" s="46">
        <v>81</v>
      </c>
      <c r="B85" s="47">
        <v>0.1038265</v>
      </c>
      <c r="C85" s="48">
        <v>5.8856200000000003E-3</v>
      </c>
      <c r="D85" s="49">
        <v>1.687429E-2</v>
      </c>
      <c r="E85" s="50">
        <v>0.79638133</v>
      </c>
      <c r="F85" s="49">
        <v>0.748122998659701</v>
      </c>
      <c r="G85" s="47">
        <v>7.1531399999999995E-2</v>
      </c>
      <c r="H85" s="48">
        <v>1.0593820800000001E-2</v>
      </c>
      <c r="I85" s="49">
        <v>1.7964412799999999E-2</v>
      </c>
      <c r="J85" s="50">
        <v>0.72528676000000003</v>
      </c>
      <c r="K85" s="49">
        <v>0.68133654737910399</v>
      </c>
    </row>
    <row r="86" spans="1:11">
      <c r="A86" s="46">
        <v>82</v>
      </c>
      <c r="B86" s="47">
        <v>0.1147278</v>
      </c>
      <c r="C86" s="48">
        <v>5.6758499999999996E-3</v>
      </c>
      <c r="D86" s="49">
        <v>1.6476790000000002E-2</v>
      </c>
      <c r="E86" s="50">
        <v>0.80280178000000002</v>
      </c>
      <c r="F86" s="49">
        <v>0.75583188481193997</v>
      </c>
      <c r="G86" s="47">
        <v>8.1441399999999997E-2</v>
      </c>
      <c r="H86" s="48">
        <v>1.02622272E-2</v>
      </c>
      <c r="I86" s="49">
        <v>1.7623046400000002E-2</v>
      </c>
      <c r="J86" s="50">
        <v>0.73086253999999995</v>
      </c>
      <c r="K86" s="49">
        <v>0.68810162721194001</v>
      </c>
    </row>
    <row r="87" spans="1:11">
      <c r="A87" s="46">
        <v>83</v>
      </c>
      <c r="B87" s="47">
        <v>0.1267711</v>
      </c>
      <c r="C87" s="48">
        <v>5.4660000000000004E-3</v>
      </c>
      <c r="D87" s="49">
        <v>1.6068559999999999E-2</v>
      </c>
      <c r="E87" s="50">
        <v>0.80926171000000002</v>
      </c>
      <c r="F87" s="49">
        <v>0.76360485531641797</v>
      </c>
      <c r="G87" s="47">
        <v>9.2770599999999995E-2</v>
      </c>
      <c r="H87" s="48">
        <v>9.9282911999999997E-3</v>
      </c>
      <c r="I87" s="49">
        <v>1.72767552E-2</v>
      </c>
      <c r="J87" s="50">
        <v>0.73673056000000003</v>
      </c>
      <c r="K87" s="49">
        <v>0.69516576124179097</v>
      </c>
    </row>
    <row r="88" spans="1:11">
      <c r="A88" s="46">
        <v>84</v>
      </c>
      <c r="B88" s="47">
        <v>0.13932430000000001</v>
      </c>
      <c r="C88" s="48">
        <v>5.2561300000000004E-3</v>
      </c>
      <c r="D88" s="49">
        <v>1.5649360000000001E-2</v>
      </c>
      <c r="E88" s="50">
        <v>0.81576152000000002</v>
      </c>
      <c r="F88" s="49">
        <v>0.77144253592835799</v>
      </c>
      <c r="G88" s="47">
        <v>0.1057192</v>
      </c>
      <c r="H88" s="48">
        <v>9.5919935999999994E-3</v>
      </c>
      <c r="I88" s="49">
        <v>1.6925433600000001E-2</v>
      </c>
      <c r="J88" s="50">
        <v>0.74289402999999998</v>
      </c>
      <c r="K88" s="49">
        <v>0.70253381702686601</v>
      </c>
    </row>
    <row r="89" spans="1:11">
      <c r="A89" s="46">
        <v>85</v>
      </c>
      <c r="B89" s="47">
        <v>0.15152160000000001</v>
      </c>
      <c r="C89" s="48">
        <v>5.0463000000000001E-3</v>
      </c>
      <c r="D89" s="49">
        <v>1.521896E-2</v>
      </c>
      <c r="E89" s="50">
        <v>0.82230159000000003</v>
      </c>
      <c r="F89" s="49">
        <v>0.77934553679104501</v>
      </c>
      <c r="G89" s="47">
        <v>0.1195473</v>
      </c>
      <c r="H89" s="48">
        <v>9.2533440000000002E-3</v>
      </c>
      <c r="I89" s="49">
        <v>1.6568975999999999E-2</v>
      </c>
      <c r="J89" s="50">
        <v>0.74935618999999998</v>
      </c>
      <c r="K89" s="49">
        <v>0.71021071738805996</v>
      </c>
    </row>
    <row r="90" spans="1:11">
      <c r="A90" s="46">
        <v>86</v>
      </c>
      <c r="B90" s="47">
        <v>0.16388620000000001</v>
      </c>
      <c r="C90" s="48">
        <v>4.8365700000000001E-3</v>
      </c>
      <c r="D90" s="49">
        <v>1.4777139999999999E-2</v>
      </c>
      <c r="E90" s="50">
        <v>0.82888229000000002</v>
      </c>
      <c r="F90" s="49">
        <v>0.787314461725373</v>
      </c>
      <c r="G90" s="47">
        <v>0.1333896</v>
      </c>
      <c r="H90" s="48">
        <v>8.9123135999999992E-3</v>
      </c>
      <c r="I90" s="49">
        <v>1.62072576E-2</v>
      </c>
      <c r="J90" s="50">
        <v>0.75611914000000002</v>
      </c>
      <c r="K90" s="49">
        <v>0.71820032939701495</v>
      </c>
    </row>
    <row r="91" spans="1:11">
      <c r="A91" s="46">
        <v>87</v>
      </c>
      <c r="B91" s="47">
        <v>0.17674709999999999</v>
      </c>
      <c r="C91" s="48">
        <v>4.6270199999999999E-3</v>
      </c>
      <c r="D91" s="49">
        <v>1.432365E-2</v>
      </c>
      <c r="E91" s="50">
        <v>0.83550400000000002</v>
      </c>
      <c r="F91" s="49">
        <v>0.79534992716417896</v>
      </c>
      <c r="G91" s="47">
        <v>0.1474734</v>
      </c>
      <c r="H91" s="48">
        <v>8.5689023999999999E-3</v>
      </c>
      <c r="I91" s="49">
        <v>1.58401824E-2</v>
      </c>
      <c r="J91" s="50">
        <v>0.76318052000000003</v>
      </c>
      <c r="K91" s="49">
        <v>0.72650229202388095</v>
      </c>
    </row>
    <row r="92" spans="1:11">
      <c r="A92" s="46">
        <v>88</v>
      </c>
      <c r="B92" s="47">
        <v>0.1903175</v>
      </c>
      <c r="C92" s="48">
        <v>4.4176900000000002E-3</v>
      </c>
      <c r="D92" s="49">
        <v>1.3858260000000001E-2</v>
      </c>
      <c r="E92" s="50">
        <v>0.84216711</v>
      </c>
      <c r="F92" s="49">
        <v>0.80345256225671602</v>
      </c>
      <c r="G92" s="47">
        <v>0.16205539999999999</v>
      </c>
      <c r="H92" s="48">
        <v>8.2230911999999993E-3</v>
      </c>
      <c r="I92" s="49">
        <v>1.5467644799999999E-2</v>
      </c>
      <c r="J92" s="50">
        <v>0.77053687999999998</v>
      </c>
      <c r="K92" s="49">
        <v>0.73511518462089598</v>
      </c>
    </row>
    <row r="93" spans="1:11">
      <c r="A93" s="46">
        <v>89</v>
      </c>
      <c r="B93" s="47">
        <v>0.20507410000000001</v>
      </c>
      <c r="C93" s="48">
        <v>4.2086700000000003E-3</v>
      </c>
      <c r="D93" s="49">
        <v>1.338074E-2</v>
      </c>
      <c r="E93" s="50">
        <v>0.84887199999999996</v>
      </c>
      <c r="F93" s="49">
        <v>0.81162298985074599</v>
      </c>
      <c r="G93" s="47">
        <v>0.17731079999999999</v>
      </c>
      <c r="H93" s="48">
        <v>7.8748800000000008E-3</v>
      </c>
      <c r="I93" s="49">
        <v>1.508952E-2</v>
      </c>
      <c r="J93" s="50">
        <v>0.77818476000000003</v>
      </c>
      <c r="K93" s="49">
        <v>0.74403754814328404</v>
      </c>
    </row>
    <row r="94" spans="1:11">
      <c r="A94" s="46">
        <v>90</v>
      </c>
      <c r="B94" s="47">
        <v>0.2213</v>
      </c>
      <c r="C94" s="48">
        <v>4.0000000000000001E-3</v>
      </c>
      <c r="D94" s="49">
        <v>1.289087E-2</v>
      </c>
      <c r="E94" s="50">
        <v>0.85561905000000005</v>
      </c>
      <c r="F94" s="49">
        <v>0.81986183597014906</v>
      </c>
      <c r="G94" s="47">
        <v>0.1935492</v>
      </c>
      <c r="H94" s="48">
        <v>7.5242592000000002E-3</v>
      </c>
      <c r="I94" s="49">
        <v>1.4705702399999999E-2</v>
      </c>
      <c r="J94" s="50">
        <v>0.78612068999999996</v>
      </c>
      <c r="K94" s="49">
        <v>0.75326788504477604</v>
      </c>
    </row>
    <row r="95" spans="1:11">
      <c r="A95" s="46">
        <v>91</v>
      </c>
      <c r="B95" s="47">
        <v>0.23907529999999999</v>
      </c>
      <c r="C95" s="48">
        <v>3.7917599999999999E-3</v>
      </c>
      <c r="D95" s="49">
        <v>1.2388400000000001E-2</v>
      </c>
      <c r="E95" s="50">
        <v>0.86240863000000001</v>
      </c>
      <c r="F95" s="49">
        <v>0.82816972021194002</v>
      </c>
      <c r="G95" s="47">
        <v>0.21103949999999999</v>
      </c>
      <c r="H95" s="48">
        <v>7.1712095999999998E-3</v>
      </c>
      <c r="I95" s="49">
        <v>1.4316086400000001E-2</v>
      </c>
      <c r="J95" s="50">
        <v>0.79434121000000002</v>
      </c>
      <c r="K95" s="49">
        <v>0.76280467837910504</v>
      </c>
    </row>
    <row r="96" spans="1:11">
      <c r="A96" s="46">
        <v>92</v>
      </c>
      <c r="B96" s="47">
        <v>0.25836619999999999</v>
      </c>
      <c r="C96" s="48">
        <v>3.5839999999999999E-3</v>
      </c>
      <c r="D96" s="49">
        <v>1.1873099999999999E-2</v>
      </c>
      <c r="E96" s="50">
        <v>0.86924113999999997</v>
      </c>
      <c r="F96" s="49">
        <v>0.83654729413731299</v>
      </c>
      <c r="G96" s="47">
        <v>0.22993179999999999</v>
      </c>
      <c r="H96" s="48">
        <v>6.8157215999999996E-3</v>
      </c>
      <c r="I96" s="49">
        <v>1.3920566400000001E-2</v>
      </c>
      <c r="J96" s="50">
        <v>0.80284286999999999</v>
      </c>
      <c r="K96" s="49">
        <v>0.77264639190447804</v>
      </c>
    </row>
    <row r="97" spans="1:11">
      <c r="A97" s="46">
        <v>93</v>
      </c>
      <c r="B97" s="47">
        <v>0.27888469999999999</v>
      </c>
      <c r="C97" s="48">
        <v>3.3767900000000002E-3</v>
      </c>
      <c r="D97" s="49">
        <v>1.1344740000000001E-2</v>
      </c>
      <c r="E97" s="50">
        <v>0.87611695000000001</v>
      </c>
      <c r="F97" s="49">
        <v>0.84499518371641802</v>
      </c>
      <c r="G97" s="47">
        <v>0.25012309999999999</v>
      </c>
      <c r="H97" s="48">
        <v>6.4577855999999999E-3</v>
      </c>
      <c r="I97" s="49">
        <v>1.35190272E-2</v>
      </c>
      <c r="J97" s="50">
        <v>0.81162219000000002</v>
      </c>
      <c r="K97" s="49">
        <v>0.78279143160895504</v>
      </c>
    </row>
    <row r="98" spans="1:11">
      <c r="A98" s="46">
        <v>94</v>
      </c>
      <c r="B98" s="47">
        <v>0.30027569999999998</v>
      </c>
      <c r="C98" s="48">
        <v>3.1702000000000002E-3</v>
      </c>
      <c r="D98" s="49">
        <v>1.080309E-2</v>
      </c>
      <c r="E98" s="50">
        <v>0.88303644000000003</v>
      </c>
      <c r="F98" s="49">
        <v>0.85351402767761197</v>
      </c>
      <c r="G98" s="47">
        <v>0.27143220000000001</v>
      </c>
      <c r="H98" s="48">
        <v>6.0974015999999999E-3</v>
      </c>
      <c r="I98" s="49">
        <v>1.31113536E-2</v>
      </c>
      <c r="J98" s="50">
        <v>0.82067572</v>
      </c>
      <c r="K98" s="49">
        <v>0.793238203391045</v>
      </c>
    </row>
    <row r="99" spans="1:11">
      <c r="A99" s="46">
        <v>95</v>
      </c>
      <c r="B99" s="47">
        <v>0.3222411</v>
      </c>
      <c r="C99" s="48">
        <v>2.9642900000000001E-3</v>
      </c>
      <c r="D99" s="49">
        <v>1.0247920000000001E-2</v>
      </c>
      <c r="E99" s="50">
        <v>0.89</v>
      </c>
      <c r="F99" s="49">
        <v>0.86210447761193998</v>
      </c>
      <c r="G99" s="47">
        <v>0.29358119999999999</v>
      </c>
      <c r="H99" s="48">
        <v>5.7345408E-3</v>
      </c>
      <c r="I99" s="49">
        <v>1.2697440000000001E-2</v>
      </c>
      <c r="J99" s="50">
        <v>0.83</v>
      </c>
      <c r="K99" s="49">
        <v>0.80398507462686597</v>
      </c>
    </row>
    <row r="100" spans="1:11">
      <c r="A100" s="46">
        <v>96</v>
      </c>
      <c r="B100" s="47">
        <v>0.34442479999999998</v>
      </c>
      <c r="C100" s="48">
        <v>2.7591099999999999E-3</v>
      </c>
      <c r="D100" s="49">
        <v>9.6789800000000002E-3</v>
      </c>
      <c r="E100" s="50">
        <v>0.89700800000000003</v>
      </c>
      <c r="F100" s="49">
        <v>0.87076716895522399</v>
      </c>
      <c r="G100" s="47">
        <v>0.31622990000000001</v>
      </c>
      <c r="H100" s="48">
        <v>5.3692128000000002E-3</v>
      </c>
      <c r="I100" s="49">
        <v>1.22771904E-2</v>
      </c>
      <c r="J100" s="50">
        <v>0.83959156000000001</v>
      </c>
      <c r="K100" s="49">
        <v>0.81503037406567203</v>
      </c>
    </row>
    <row r="101" spans="1:11">
      <c r="A101" s="46">
        <v>97</v>
      </c>
      <c r="B101" s="47">
        <v>0.36657050000000002</v>
      </c>
      <c r="C101" s="48">
        <v>2.5547399999999998E-3</v>
      </c>
      <c r="D101" s="49">
        <v>9.0960599999999996E-3</v>
      </c>
      <c r="E101" s="50">
        <v>0.90406083000000004</v>
      </c>
      <c r="F101" s="49">
        <v>0.879502759692537</v>
      </c>
      <c r="G101" s="47">
        <v>0.33917370000000002</v>
      </c>
      <c r="H101" s="48">
        <v>5.0013888000000001E-3</v>
      </c>
      <c r="I101" s="49">
        <v>1.18504704E-2</v>
      </c>
      <c r="J101" s="50">
        <v>0.84944695000000003</v>
      </c>
      <c r="K101" s="49">
        <v>0.82637242091044805</v>
      </c>
    </row>
    <row r="102" spans="1:11">
      <c r="A102" s="46">
        <v>98</v>
      </c>
      <c r="B102" s="47">
        <v>0.38860509999999998</v>
      </c>
      <c r="C102" s="48">
        <v>2.3512400000000001E-3</v>
      </c>
      <c r="D102" s="49">
        <v>8.4989100000000001E-3</v>
      </c>
      <c r="E102" s="50">
        <v>0.91115886000000001</v>
      </c>
      <c r="F102" s="49">
        <v>0.888311891570149</v>
      </c>
      <c r="G102" s="47">
        <v>0.36230509999999999</v>
      </c>
      <c r="H102" s="48">
        <v>4.6310687999999997E-3</v>
      </c>
      <c r="I102" s="49">
        <v>1.14171936E-2</v>
      </c>
      <c r="J102" s="50">
        <v>0.85956270000000001</v>
      </c>
      <c r="K102" s="49">
        <v>0.83800948602985104</v>
      </c>
    </row>
    <row r="103" spans="1:11">
      <c r="A103" s="46">
        <v>99</v>
      </c>
      <c r="B103" s="47">
        <v>0.41057949999999999</v>
      </c>
      <c r="C103" s="48">
        <v>2.1486700000000001E-3</v>
      </c>
      <c r="D103" s="49">
        <v>7.8873099999999998E-3</v>
      </c>
      <c r="E103" s="50">
        <v>0.91830248000000003</v>
      </c>
      <c r="F103" s="49">
        <v>0.89719522896716397</v>
      </c>
      <c r="G103" s="47">
        <v>0.38555869999999998</v>
      </c>
      <c r="H103" s="48">
        <v>4.2582432000000002E-3</v>
      </c>
      <c r="I103" s="49">
        <v>1.0977235199999999E-2</v>
      </c>
      <c r="J103" s="50">
        <v>0.86993535</v>
      </c>
      <c r="K103" s="49">
        <v>0.84993982105970201</v>
      </c>
    </row>
    <row r="104" spans="1:11">
      <c r="A104" s="46">
        <v>100</v>
      </c>
      <c r="B104" s="47">
        <v>0.4325524</v>
      </c>
      <c r="C104" s="48">
        <v>1.9470900000000001E-3</v>
      </c>
      <c r="D104" s="49">
        <v>7.26102E-3</v>
      </c>
      <c r="E104" s="50">
        <v>0.92549205999999995</v>
      </c>
      <c r="F104" s="49">
        <v>0.90615341994029797</v>
      </c>
      <c r="G104" s="47">
        <v>0.40889019999999998</v>
      </c>
      <c r="H104" s="48">
        <v>3.8828928E-3</v>
      </c>
      <c r="I104" s="49">
        <v>1.05304896E-2</v>
      </c>
      <c r="J104" s="50">
        <v>0.88056144999999997</v>
      </c>
      <c r="K104" s="49">
        <v>0.86216165850746296</v>
      </c>
    </row>
    <row r="105" spans="1:11">
      <c r="A105" s="46">
        <v>101</v>
      </c>
      <c r="B105" s="47">
        <v>0.45452670000000001</v>
      </c>
      <c r="C105" s="48">
        <v>1.74657E-3</v>
      </c>
      <c r="D105" s="49">
        <v>6.6198000000000003E-3</v>
      </c>
      <c r="E105" s="50">
        <v>0.932728</v>
      </c>
      <c r="F105" s="49">
        <v>0.91518714507462695</v>
      </c>
      <c r="G105" s="47">
        <v>0.43227120000000002</v>
      </c>
      <c r="H105" s="48">
        <v>3.5050175999999998E-3</v>
      </c>
      <c r="I105" s="49">
        <v>1.0076841600000001E-2</v>
      </c>
      <c r="J105" s="50">
        <v>0.89143751000000004</v>
      </c>
      <c r="K105" s="49">
        <v>0.87467316279701501</v>
      </c>
    </row>
    <row r="106" spans="1:11">
      <c r="A106" s="46">
        <v>102</v>
      </c>
      <c r="B106" s="47">
        <v>0.47649360000000002</v>
      </c>
      <c r="C106" s="48">
        <v>1.5471700000000001E-3</v>
      </c>
      <c r="D106" s="49">
        <v>5.9634400000000004E-3</v>
      </c>
      <c r="E106" s="50">
        <v>0.94001067000000005</v>
      </c>
      <c r="F106" s="49">
        <v>0.92429705880000002</v>
      </c>
      <c r="G106" s="47">
        <v>0.45568750000000002</v>
      </c>
      <c r="H106" s="48">
        <v>3.1245983999999998E-3</v>
      </c>
      <c r="I106" s="49">
        <v>9.6161952000000002E-3</v>
      </c>
      <c r="J106" s="50">
        <v>0.90256009999999998</v>
      </c>
      <c r="K106" s="49">
        <v>0.88747252817910405</v>
      </c>
    </row>
    <row r="107" spans="1:11">
      <c r="A107" s="46">
        <v>103</v>
      </c>
      <c r="B107" s="47">
        <v>0.4984594</v>
      </c>
      <c r="C107" s="48">
        <v>1.34896E-3</v>
      </c>
      <c r="D107" s="49">
        <v>5.29168E-3</v>
      </c>
      <c r="E107" s="50">
        <v>0.94734043999999995</v>
      </c>
      <c r="F107" s="49">
        <v>0.93348381863880603</v>
      </c>
      <c r="G107" s="47">
        <v>0.47912640000000001</v>
      </c>
      <c r="H107" s="48">
        <v>2.7416352000000001E-3</v>
      </c>
      <c r="I107" s="49">
        <v>9.1484352000000008E-3</v>
      </c>
      <c r="J107" s="50">
        <v>0.91392574000000004</v>
      </c>
      <c r="K107" s="49">
        <v>0.900557870967164</v>
      </c>
    </row>
    <row r="108" spans="1:11">
      <c r="A108" s="46">
        <v>104</v>
      </c>
      <c r="B108" s="47">
        <v>0.52042469999999996</v>
      </c>
      <c r="C108" s="48">
        <v>1.152E-3</v>
      </c>
      <c r="D108" s="49">
        <v>4.6043100000000003E-3</v>
      </c>
      <c r="E108" s="50">
        <v>0.95471771000000005</v>
      </c>
      <c r="F108" s="49">
        <v>0.94274811482985099</v>
      </c>
      <c r="G108" s="47">
        <v>0.50258009999999997</v>
      </c>
      <c r="H108" s="48">
        <v>2.3561087999999998E-3</v>
      </c>
      <c r="I108" s="49">
        <v>8.6734367999999999E-3</v>
      </c>
      <c r="J108" s="50">
        <v>0.92553096999999995</v>
      </c>
      <c r="K108" s="49">
        <v>0.91392729813731299</v>
      </c>
    </row>
    <row r="109" spans="1:11">
      <c r="A109" s="46">
        <v>105</v>
      </c>
      <c r="B109" s="47">
        <v>0.54239000000000004</v>
      </c>
      <c r="C109" s="48">
        <v>9.5635000000000002E-4</v>
      </c>
      <c r="D109" s="49">
        <v>3.9010799999999999E-3</v>
      </c>
      <c r="E109" s="50">
        <v>0.96214286000000004</v>
      </c>
      <c r="F109" s="49">
        <v>0.95209062116417897</v>
      </c>
      <c r="G109" s="47">
        <v>0.52604119999999999</v>
      </c>
      <c r="H109" s="48">
        <v>1.9680095999999999E-3</v>
      </c>
      <c r="I109" s="49">
        <v>8.1911135999999992E-3</v>
      </c>
      <c r="J109" s="50">
        <v>0.93737234000000003</v>
      </c>
      <c r="K109" s="49">
        <v>0.92757889764179102</v>
      </c>
    </row>
    <row r="110" spans="1:11">
      <c r="A110" s="46">
        <v>106</v>
      </c>
      <c r="B110" s="47">
        <v>0.56435659999999999</v>
      </c>
      <c r="C110" s="48">
        <v>7.6207E-4</v>
      </c>
      <c r="D110" s="49">
        <v>3.18177E-3</v>
      </c>
      <c r="E110" s="50">
        <v>0.96961624999999996</v>
      </c>
      <c r="F110" s="49">
        <v>0.96151199477611904</v>
      </c>
      <c r="G110" s="47">
        <v>0.54950390000000005</v>
      </c>
      <c r="H110" s="48">
        <v>1.5773376E-3</v>
      </c>
      <c r="I110" s="49">
        <v>7.7013408000000004E-3</v>
      </c>
      <c r="J110" s="50">
        <v>0.94944638000000003</v>
      </c>
      <c r="K110" s="49">
        <v>0.94151070876417897</v>
      </c>
    </row>
    <row r="111" spans="1:11">
      <c r="A111" s="46">
        <v>107</v>
      </c>
      <c r="B111" s="47">
        <v>0.58632580000000001</v>
      </c>
      <c r="C111" s="48">
        <v>5.6924000000000005E-4</v>
      </c>
      <c r="D111" s="49">
        <v>2.4461399999999999E-3</v>
      </c>
      <c r="E111" s="50">
        <v>0.97713828999999996</v>
      </c>
      <c r="F111" s="49">
        <v>0.97101294549552197</v>
      </c>
      <c r="G111" s="47">
        <v>0.57296650000000005</v>
      </c>
      <c r="H111" s="48">
        <v>1.1840640000000001E-3</v>
      </c>
      <c r="I111" s="49">
        <v>7.2040224000000002E-3</v>
      </c>
      <c r="J111" s="50">
        <v>0.96174961999999997</v>
      </c>
      <c r="K111" s="49">
        <v>0.95572074178507505</v>
      </c>
    </row>
    <row r="112" spans="1:11">
      <c r="A112" s="46">
        <v>108</v>
      </c>
      <c r="B112" s="47">
        <v>0.60829889999999998</v>
      </c>
      <c r="C112" s="48">
        <v>3.7790000000000002E-4</v>
      </c>
      <c r="D112" s="49">
        <v>1.69396E-3</v>
      </c>
      <c r="E112" s="50">
        <v>0.98470933000000005</v>
      </c>
      <c r="F112" s="49">
        <v>0.98059412682985103</v>
      </c>
      <c r="G112" s="47">
        <v>0.59642859999999998</v>
      </c>
      <c r="H112" s="48">
        <v>7.8818880000000005E-4</v>
      </c>
      <c r="I112" s="49">
        <v>6.6990336000000003E-3</v>
      </c>
      <c r="J112" s="50">
        <v>0.97427861999999998</v>
      </c>
      <c r="K112" s="49">
        <v>0.97020700785671599</v>
      </c>
    </row>
    <row r="113" spans="1:11">
      <c r="A113" s="46">
        <v>109</v>
      </c>
      <c r="B113" s="47">
        <v>0.63027719999999998</v>
      </c>
      <c r="C113" s="48">
        <v>1.8814E-4</v>
      </c>
      <c r="D113" s="49">
        <v>9.2500000000000004E-4</v>
      </c>
      <c r="E113" s="50">
        <v>0.99232978000000005</v>
      </c>
      <c r="F113" s="49">
        <v>0.99025625508656701</v>
      </c>
      <c r="G113" s="47">
        <v>0.61988940000000003</v>
      </c>
      <c r="H113" s="48">
        <v>3.8970239999999999E-4</v>
      </c>
      <c r="I113" s="49">
        <v>6.1862688000000002E-3</v>
      </c>
      <c r="J113" s="50">
        <v>0.98702990000000002</v>
      </c>
      <c r="K113" s="49">
        <v>0.984967449462686</v>
      </c>
    </row>
    <row r="114" spans="1:11">
      <c r="A114" s="46">
        <v>110</v>
      </c>
      <c r="B114" s="47">
        <v>0.65226209999999996</v>
      </c>
      <c r="C114" s="48">
        <v>1.8814E-4</v>
      </c>
      <c r="D114" s="49">
        <v>9.2500000000000004E-4</v>
      </c>
      <c r="E114" s="50">
        <v>1</v>
      </c>
      <c r="F114" s="49">
        <v>1</v>
      </c>
      <c r="G114" s="47">
        <v>0.64334840000000004</v>
      </c>
      <c r="H114" s="48">
        <v>3.8970239999999999E-4</v>
      </c>
      <c r="I114" s="49">
        <v>6.1862688000000002E-3</v>
      </c>
      <c r="J114" s="50">
        <v>1</v>
      </c>
      <c r="K114" s="49">
        <v>1</v>
      </c>
    </row>
    <row r="115" spans="1:11">
      <c r="A115" s="46">
        <v>111</v>
      </c>
      <c r="B115" s="47">
        <v>0.67425480000000004</v>
      </c>
      <c r="C115" s="48">
        <v>1.8814E-4</v>
      </c>
      <c r="D115" s="49">
        <v>9.2500000000000004E-4</v>
      </c>
      <c r="E115" s="50">
        <v>1</v>
      </c>
      <c r="F115" s="49">
        <v>1</v>
      </c>
      <c r="G115" s="47">
        <v>0.66680479999999998</v>
      </c>
      <c r="H115" s="48">
        <v>3.8970239999999999E-4</v>
      </c>
      <c r="I115" s="49">
        <v>6.1862688000000002E-3</v>
      </c>
      <c r="J115" s="50">
        <v>1</v>
      </c>
      <c r="K115" s="49">
        <v>1</v>
      </c>
    </row>
    <row r="116" spans="1:11">
      <c r="A116" s="46">
        <v>112</v>
      </c>
      <c r="B116" s="47">
        <v>0.6962566</v>
      </c>
      <c r="C116" s="48">
        <v>1.8814E-4</v>
      </c>
      <c r="D116" s="49">
        <v>9.2500000000000004E-4</v>
      </c>
      <c r="E116" s="50">
        <v>1</v>
      </c>
      <c r="F116" s="49">
        <v>1</v>
      </c>
      <c r="G116" s="47">
        <v>0.69025820000000004</v>
      </c>
      <c r="H116" s="48">
        <v>3.8970239999999999E-4</v>
      </c>
      <c r="I116" s="49">
        <v>6.1862688000000002E-3</v>
      </c>
      <c r="J116" s="50">
        <v>1</v>
      </c>
      <c r="K116" s="49">
        <v>1</v>
      </c>
    </row>
    <row r="117" spans="1:11">
      <c r="A117" s="51">
        <v>113</v>
      </c>
      <c r="B117" s="52">
        <v>1</v>
      </c>
      <c r="C117" s="53">
        <v>0</v>
      </c>
      <c r="D117" s="54">
        <v>0</v>
      </c>
      <c r="E117" s="55">
        <v>1</v>
      </c>
      <c r="F117" s="54">
        <v>1</v>
      </c>
      <c r="G117" s="52">
        <v>1</v>
      </c>
      <c r="H117" s="53">
        <v>0</v>
      </c>
      <c r="I117" s="54">
        <v>0</v>
      </c>
      <c r="J117" s="55">
        <v>1</v>
      </c>
      <c r="K117" s="54">
        <v>1</v>
      </c>
    </row>
  </sheetData>
  <mergeCells count="3">
    <mergeCell ref="A1:K1"/>
    <mergeCell ref="B2:F2"/>
    <mergeCell ref="G2:K2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Roman,Standard"&amp;12&amp;A</oddHeader>
    <oddFooter>&amp;C&amp;"Times New Roman,Standard"&amp;12Seite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W117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19" sqref="F19"/>
    </sheetView>
  </sheetViews>
  <sheetFormatPr baseColWidth="10" defaultColWidth="9.140625" defaultRowHeight="12.75"/>
  <cols>
    <col min="1" max="1" width="6.85546875" style="33"/>
    <col min="2" max="6" width="11.28515625" style="33"/>
    <col min="7" max="7" width="5.7109375" style="33"/>
    <col min="8" max="12" width="11.28515625" style="33"/>
    <col min="13" max="13" width="5.7109375" style="33"/>
    <col min="14" max="23" width="10.7109375" style="34"/>
    <col min="24" max="24" width="5.7109375" style="33"/>
    <col min="25" max="210" width="10.7109375" style="34"/>
    <col min="211" max="257" width="10.7109375" style="35"/>
    <col min="258" max="1025" width="10.7109375"/>
  </cols>
  <sheetData>
    <row r="1" spans="1:257" ht="33.950000000000003" customHeight="1">
      <c r="A1" s="11" t="s">
        <v>18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56" t="s">
        <v>14</v>
      </c>
      <c r="N1" s="57">
        <v>1935</v>
      </c>
      <c r="O1"/>
      <c r="P1"/>
      <c r="Q1"/>
      <c r="R1"/>
      <c r="S1"/>
      <c r="T1"/>
      <c r="U1"/>
      <c r="V1"/>
      <c r="W1"/>
      <c r="X1" s="56" t="s">
        <v>29</v>
      </c>
      <c r="Y1" s="58">
        <v>0.04</v>
      </c>
      <c r="Z1" s="59">
        <f>1/(1+Y1)</f>
        <v>0.96153846153846145</v>
      </c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  <c r="IW1"/>
    </row>
    <row r="2" spans="1:257">
      <c r="B2" s="9" t="s">
        <v>16</v>
      </c>
      <c r="C2" s="9"/>
      <c r="D2" s="9"/>
      <c r="E2" s="9"/>
      <c r="F2" s="9"/>
      <c r="H2" s="8" t="s">
        <v>17</v>
      </c>
      <c r="I2" s="8"/>
      <c r="J2" s="8"/>
      <c r="K2" s="8"/>
      <c r="L2" s="8"/>
      <c r="M2" s="35"/>
      <c r="N2" s="7" t="s">
        <v>30</v>
      </c>
      <c r="O2" s="7"/>
      <c r="P2" s="7"/>
      <c r="Q2" s="7"/>
      <c r="R2"/>
      <c r="S2"/>
      <c r="T2" s="6" t="s">
        <v>31</v>
      </c>
      <c r="U2" s="6"/>
      <c r="V2" s="6"/>
      <c r="W2" s="6"/>
      <c r="X2" s="35"/>
      <c r="Y2" s="6" t="s">
        <v>32</v>
      </c>
      <c r="Z2" s="6"/>
      <c r="AA2" s="6"/>
      <c r="AB2" s="6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</row>
    <row r="3" spans="1:257" s="40" customFormat="1" ht="25.5">
      <c r="A3" s="36" t="s">
        <v>1</v>
      </c>
      <c r="B3" s="37" t="s">
        <v>19</v>
      </c>
      <c r="C3" s="38" t="s">
        <v>20</v>
      </c>
      <c r="D3" s="38" t="s">
        <v>21</v>
      </c>
      <c r="E3" s="37" t="s">
        <v>22</v>
      </c>
      <c r="F3" s="37" t="s">
        <v>23</v>
      </c>
      <c r="G3" s="61" t="s">
        <v>5</v>
      </c>
      <c r="H3" s="39" t="s">
        <v>24</v>
      </c>
      <c r="I3" s="38" t="s">
        <v>25</v>
      </c>
      <c r="J3" s="38" t="s">
        <v>26</v>
      </c>
      <c r="K3" s="39" t="s">
        <v>27</v>
      </c>
      <c r="L3" s="39" t="s">
        <v>28</v>
      </c>
      <c r="M3" s="61" t="s">
        <v>5</v>
      </c>
      <c r="N3" s="62" t="s">
        <v>33</v>
      </c>
      <c r="O3" s="62" t="s">
        <v>34</v>
      </c>
      <c r="P3" s="62" t="s">
        <v>35</v>
      </c>
      <c r="Q3" s="62" t="s">
        <v>36</v>
      </c>
      <c r="R3" s="63" t="s">
        <v>37</v>
      </c>
      <c r="S3" s="64" t="s">
        <v>38</v>
      </c>
      <c r="T3" s="62" t="s">
        <v>16</v>
      </c>
      <c r="U3" s="62" t="s">
        <v>39</v>
      </c>
      <c r="V3" s="62" t="s">
        <v>17</v>
      </c>
      <c r="W3" s="62" t="s">
        <v>40</v>
      </c>
      <c r="X3" s="61" t="s">
        <v>5</v>
      </c>
      <c r="Y3" s="62" t="s">
        <v>16</v>
      </c>
      <c r="Z3" s="62" t="s">
        <v>39</v>
      </c>
      <c r="AA3" s="62" t="s">
        <v>17</v>
      </c>
      <c r="AB3" s="62" t="s">
        <v>40</v>
      </c>
    </row>
    <row r="4" spans="1:257">
      <c r="A4" s="41">
        <v>0</v>
      </c>
      <c r="B4" s="42">
        <v>8.4685999999999997E-3</v>
      </c>
      <c r="C4" s="43">
        <v>4.5780839322034E-2</v>
      </c>
      <c r="D4" s="44">
        <v>6.2792362000000004E-2</v>
      </c>
      <c r="E4" s="45">
        <v>0.8</v>
      </c>
      <c r="F4" s="44">
        <v>0.8</v>
      </c>
      <c r="G4" s="41">
        <v>0</v>
      </c>
      <c r="H4" s="42">
        <v>6.7104E-3</v>
      </c>
      <c r="I4" s="43">
        <v>4.9763218294738003E-2</v>
      </c>
      <c r="J4" s="44">
        <v>4.9763218294738003E-2</v>
      </c>
      <c r="K4" s="45">
        <v>0.8</v>
      </c>
      <c r="L4" s="44">
        <v>0.8</v>
      </c>
      <c r="M4" s="41">
        <v>0</v>
      </c>
      <c r="N4" s="65">
        <f t="shared" ref="N4:N35" si="0">B4*F4</f>
        <v>6.7748800000000005E-3</v>
      </c>
      <c r="O4" s="66">
        <f t="shared" ref="O4:O35" si="1">B4*E4</f>
        <v>6.7748800000000005E-3</v>
      </c>
      <c r="P4" s="66">
        <f t="shared" ref="P4:P35" si="2">H4*L4</f>
        <v>5.3683200000000002E-3</v>
      </c>
      <c r="Q4" s="67">
        <f t="shared" ref="Q4:Q35" si="3">H4*K4</f>
        <v>5.3683200000000002E-3</v>
      </c>
      <c r="R4" s="68">
        <f t="shared" ref="R4:R35" si="4">$N$1+M4</f>
        <v>1935</v>
      </c>
      <c r="S4" s="69">
        <f t="shared" ref="S4:S35" si="5">IF(R4&lt;1971,15/(1991-R4),IF(R4&lt;1981,1+(R4-1981)^2/(20*(R4-1991)),IF(R4&lt;=2000,1,IF(R4&lt;2010,1-(R4-2000)^2/(20*(R4-1991)),14/(R4-1991)))))</f>
        <v>0.26785714285714285</v>
      </c>
      <c r="T4" s="70">
        <f t="shared" ref="T4:T35" si="6">N4*EXP(-($C4+$S4*($D4-$C4))*($R4-1991))</f>
        <v>0.11353617364074181</v>
      </c>
      <c r="U4" s="71">
        <f t="shared" ref="U4:U35" si="7">O4*EXP(-($C4+$S4*($D4-$C4))*($R4-1991))</f>
        <v>0.11353617364074181</v>
      </c>
      <c r="V4" s="72">
        <f t="shared" ref="V4:V35" si="8">P4*EXP(-($I4+$S4*($J4-$I4))*($R4-1991))</f>
        <v>8.7117278090669825E-2</v>
      </c>
      <c r="W4" s="71">
        <f t="shared" ref="W4:W35" si="9">Q4*EXP(-($I4+$S4*($J4-$I4))*($R4-1991))</f>
        <v>8.7117278090669825E-2</v>
      </c>
      <c r="X4" s="41">
        <v>0</v>
      </c>
      <c r="Y4" s="73">
        <f t="shared" ref="Y4:Y35" si="10">1+(1-T4)*$Z$1*Y5</f>
        <v>21.255784771809527</v>
      </c>
      <c r="Z4" s="74">
        <f t="shared" ref="Z4:Z35" si="11">1+(1-U4)*$Z$1*Z5</f>
        <v>21.235673861730142</v>
      </c>
      <c r="AA4" s="73">
        <f t="shared" ref="AA4:AA35" si="12">1+(1-V4)*$Z$1*AA5</f>
        <v>22.386389942700699</v>
      </c>
      <c r="AB4" s="74">
        <f t="shared" ref="AB4:AB35" si="13">1+(1-W4)*$Z$1*AB5</f>
        <v>22.370783038784566</v>
      </c>
    </row>
    <row r="5" spans="1:257">
      <c r="A5" s="46">
        <v>1</v>
      </c>
      <c r="B5" s="47">
        <v>5.4770000000000003E-4</v>
      </c>
      <c r="C5" s="48">
        <v>4.5562499133389597E-2</v>
      </c>
      <c r="D5" s="49">
        <v>4.6734645999999998E-2</v>
      </c>
      <c r="E5" s="50">
        <v>0.8</v>
      </c>
      <c r="F5" s="49">
        <v>0.8</v>
      </c>
      <c r="G5" s="46">
        <v>1</v>
      </c>
      <c r="H5" s="47">
        <v>5.1550000000000001E-4</v>
      </c>
      <c r="I5" s="48">
        <v>4.6358899845151798E-2</v>
      </c>
      <c r="J5" s="49">
        <v>4.6358899845151798E-2</v>
      </c>
      <c r="K5" s="50">
        <v>0.8</v>
      </c>
      <c r="L5" s="49">
        <v>0.8</v>
      </c>
      <c r="M5" s="46">
        <v>1</v>
      </c>
      <c r="N5" s="75">
        <f t="shared" si="0"/>
        <v>4.3816000000000005E-4</v>
      </c>
      <c r="O5" s="76">
        <f t="shared" si="1"/>
        <v>4.3816000000000005E-4</v>
      </c>
      <c r="P5" s="76">
        <f t="shared" si="2"/>
        <v>4.1240000000000005E-4</v>
      </c>
      <c r="Q5" s="77">
        <f t="shared" si="3"/>
        <v>4.1240000000000005E-4</v>
      </c>
      <c r="R5" s="78">
        <f t="shared" si="4"/>
        <v>1936</v>
      </c>
      <c r="S5" s="79">
        <f t="shared" si="5"/>
        <v>0.27272727272727271</v>
      </c>
      <c r="T5" s="80">
        <f t="shared" si="6"/>
        <v>5.4649147204356326E-3</v>
      </c>
      <c r="U5" s="81">
        <f t="shared" si="7"/>
        <v>5.4649147204356326E-3</v>
      </c>
      <c r="V5" s="82">
        <f t="shared" si="8"/>
        <v>5.2802738644706628E-3</v>
      </c>
      <c r="W5" s="81">
        <f t="shared" si="9"/>
        <v>5.2802738644706628E-3</v>
      </c>
      <c r="X5" s="46">
        <v>1</v>
      </c>
      <c r="Y5" s="83">
        <f t="shared" si="10"/>
        <v>23.764101293564195</v>
      </c>
      <c r="Z5" s="84">
        <f t="shared" si="11"/>
        <v>23.740507159364199</v>
      </c>
      <c r="AA5" s="83">
        <f t="shared" si="12"/>
        <v>24.364406299517896</v>
      </c>
      <c r="AB5" s="84">
        <f t="shared" si="13"/>
        <v>24.346626162285339</v>
      </c>
    </row>
    <row r="6" spans="1:257">
      <c r="A6" s="46">
        <v>2</v>
      </c>
      <c r="B6" s="47">
        <v>4.5389999999999997E-4</v>
      </c>
      <c r="C6" s="48">
        <v>4.4558938362677103E-2</v>
      </c>
      <c r="D6" s="49">
        <v>4.6695543999999999E-2</v>
      </c>
      <c r="E6" s="50">
        <v>0.8</v>
      </c>
      <c r="F6" s="49">
        <v>0.8</v>
      </c>
      <c r="G6" s="46">
        <v>2</v>
      </c>
      <c r="H6" s="47">
        <v>4.1169999999999998E-4</v>
      </c>
      <c r="I6" s="48">
        <v>4.5568312499515998E-2</v>
      </c>
      <c r="J6" s="49">
        <v>4.5568312499515998E-2</v>
      </c>
      <c r="K6" s="50">
        <v>0.8</v>
      </c>
      <c r="L6" s="49">
        <v>0.8</v>
      </c>
      <c r="M6" s="46">
        <v>2</v>
      </c>
      <c r="N6" s="75">
        <f t="shared" si="0"/>
        <v>3.6311999999999998E-4</v>
      </c>
      <c r="O6" s="76">
        <f t="shared" si="1"/>
        <v>3.6311999999999998E-4</v>
      </c>
      <c r="P6" s="76">
        <f t="shared" si="2"/>
        <v>3.2936E-4</v>
      </c>
      <c r="Q6" s="77">
        <f t="shared" si="3"/>
        <v>3.2936E-4</v>
      </c>
      <c r="R6" s="78">
        <f t="shared" si="4"/>
        <v>1937</v>
      </c>
      <c r="S6" s="79">
        <f t="shared" si="5"/>
        <v>0.27777777777777779</v>
      </c>
      <c r="T6" s="80">
        <f t="shared" si="6"/>
        <v>4.1587303996908007E-3</v>
      </c>
      <c r="U6" s="81">
        <f t="shared" si="7"/>
        <v>4.1587303996908007E-3</v>
      </c>
      <c r="V6" s="82">
        <f t="shared" si="8"/>
        <v>3.8577533233920998E-3</v>
      </c>
      <c r="W6" s="81">
        <f t="shared" si="9"/>
        <v>3.8577533233920998E-3</v>
      </c>
      <c r="X6" s="46">
        <v>2</v>
      </c>
      <c r="Y6" s="83">
        <f t="shared" si="10"/>
        <v>23.804756308473323</v>
      </c>
      <c r="Z6" s="84">
        <f t="shared" si="11"/>
        <v>23.780083574518343</v>
      </c>
      <c r="AA6" s="83">
        <f t="shared" si="12"/>
        <v>24.427968917334919</v>
      </c>
      <c r="AB6" s="84">
        <f t="shared" si="13"/>
        <v>24.409379416960075</v>
      </c>
    </row>
    <row r="7" spans="1:257">
      <c r="A7" s="46">
        <v>3</v>
      </c>
      <c r="B7" s="47">
        <v>3.7389999999999998E-4</v>
      </c>
      <c r="C7" s="48">
        <v>4.2966357231724303E-2</v>
      </c>
      <c r="D7" s="49">
        <v>4.6656441999999999E-2</v>
      </c>
      <c r="E7" s="50">
        <v>0.8</v>
      </c>
      <c r="F7" s="49">
        <v>0.8</v>
      </c>
      <c r="G7" s="46">
        <v>3</v>
      </c>
      <c r="H7" s="47">
        <v>3.1750000000000002E-4</v>
      </c>
      <c r="I7" s="48">
        <v>4.4453791013854001E-2</v>
      </c>
      <c r="J7" s="49">
        <v>4.4453791013854001E-2</v>
      </c>
      <c r="K7" s="50">
        <v>0.8</v>
      </c>
      <c r="L7" s="49">
        <v>0.8</v>
      </c>
      <c r="M7" s="46">
        <v>3</v>
      </c>
      <c r="N7" s="75">
        <f t="shared" si="0"/>
        <v>2.9912E-4</v>
      </c>
      <c r="O7" s="76">
        <f t="shared" si="1"/>
        <v>2.9912E-4</v>
      </c>
      <c r="P7" s="76">
        <f t="shared" si="2"/>
        <v>2.5400000000000005E-4</v>
      </c>
      <c r="Q7" s="77">
        <f t="shared" si="3"/>
        <v>2.5400000000000005E-4</v>
      </c>
      <c r="R7" s="78">
        <f t="shared" si="4"/>
        <v>1938</v>
      </c>
      <c r="S7" s="79">
        <f t="shared" si="5"/>
        <v>0.28301886792452829</v>
      </c>
      <c r="T7" s="80">
        <f t="shared" si="6"/>
        <v>3.082243548012102E-3</v>
      </c>
      <c r="U7" s="81">
        <f t="shared" si="7"/>
        <v>3.082243548012102E-3</v>
      </c>
      <c r="V7" s="82">
        <f t="shared" si="8"/>
        <v>2.679499201021166E-3</v>
      </c>
      <c r="W7" s="81">
        <f t="shared" si="9"/>
        <v>2.679499201021166E-3</v>
      </c>
      <c r="X7" s="46">
        <v>3</v>
      </c>
      <c r="Y7" s="83">
        <f t="shared" si="10"/>
        <v>23.815990845942036</v>
      </c>
      <c r="Z7" s="84">
        <f t="shared" si="11"/>
        <v>23.790224045452359</v>
      </c>
      <c r="AA7" s="83">
        <f t="shared" si="12"/>
        <v>24.459446183832327</v>
      </c>
      <c r="AB7" s="84">
        <f t="shared" si="13"/>
        <v>24.440038232353171</v>
      </c>
    </row>
    <row r="8" spans="1:257">
      <c r="A8" s="46">
        <v>4</v>
      </c>
      <c r="B8" s="47">
        <v>3.0860000000000002E-4</v>
      </c>
      <c r="C8" s="48">
        <v>4.10116158440628E-2</v>
      </c>
      <c r="D8" s="49">
        <v>4.6617341E-2</v>
      </c>
      <c r="E8" s="50">
        <v>0.8</v>
      </c>
      <c r="F8" s="49">
        <v>0.8</v>
      </c>
      <c r="G8" s="46">
        <v>4</v>
      </c>
      <c r="H8" s="47">
        <v>2.377E-4</v>
      </c>
      <c r="I8" s="48">
        <v>4.3126087611245902E-2</v>
      </c>
      <c r="J8" s="49">
        <v>4.3126087611245902E-2</v>
      </c>
      <c r="K8" s="50">
        <v>0.8</v>
      </c>
      <c r="L8" s="49">
        <v>0.8</v>
      </c>
      <c r="M8" s="46">
        <v>4</v>
      </c>
      <c r="N8" s="75">
        <f t="shared" si="0"/>
        <v>2.4688000000000005E-4</v>
      </c>
      <c r="O8" s="76">
        <f t="shared" si="1"/>
        <v>2.4688000000000005E-4</v>
      </c>
      <c r="P8" s="76">
        <f t="shared" si="2"/>
        <v>1.9016000000000001E-4</v>
      </c>
      <c r="Q8" s="77">
        <f t="shared" si="3"/>
        <v>1.9016000000000001E-4</v>
      </c>
      <c r="R8" s="78">
        <f t="shared" si="4"/>
        <v>1939</v>
      </c>
      <c r="S8" s="79">
        <f t="shared" si="5"/>
        <v>0.28846153846153844</v>
      </c>
      <c r="T8" s="80">
        <f t="shared" si="6"/>
        <v>2.2655940785127233E-3</v>
      </c>
      <c r="U8" s="81">
        <f t="shared" si="7"/>
        <v>2.2655940785127233E-3</v>
      </c>
      <c r="V8" s="82">
        <f t="shared" si="8"/>
        <v>1.7908083316625055E-3</v>
      </c>
      <c r="W8" s="81">
        <f t="shared" si="9"/>
        <v>1.7908083316625055E-3</v>
      </c>
      <c r="X8" s="46">
        <v>4</v>
      </c>
      <c r="Y8" s="83">
        <f t="shared" si="10"/>
        <v>23.801994022284727</v>
      </c>
      <c r="Z8" s="84">
        <f t="shared" si="11"/>
        <v>23.775113698069582</v>
      </c>
      <c r="AA8" s="83">
        <f t="shared" si="12"/>
        <v>24.463373621258068</v>
      </c>
      <c r="AB8" s="84">
        <f t="shared" si="13"/>
        <v>24.443135122678971</v>
      </c>
    </row>
    <row r="9" spans="1:257">
      <c r="A9" s="46">
        <v>5</v>
      </c>
      <c r="B9" s="47">
        <v>2.5710000000000002E-4</v>
      </c>
      <c r="C9" s="48">
        <v>3.8956249388648202E-2</v>
      </c>
      <c r="D9" s="49">
        <v>4.6578239E-2</v>
      </c>
      <c r="E9" s="50">
        <v>0.8</v>
      </c>
      <c r="F9" s="49">
        <v>0.8</v>
      </c>
      <c r="G9" s="46">
        <v>5</v>
      </c>
      <c r="H9" s="47">
        <v>1.8029999999999999E-4</v>
      </c>
      <c r="I9" s="48">
        <v>4.1705875620581097E-2</v>
      </c>
      <c r="J9" s="49">
        <v>4.1705875620581097E-2</v>
      </c>
      <c r="K9" s="50">
        <v>0.8</v>
      </c>
      <c r="L9" s="49">
        <v>0.8</v>
      </c>
      <c r="M9" s="46">
        <v>5</v>
      </c>
      <c r="N9" s="75">
        <f t="shared" si="0"/>
        <v>2.0568000000000002E-4</v>
      </c>
      <c r="O9" s="76">
        <f t="shared" si="1"/>
        <v>2.0568000000000002E-4</v>
      </c>
      <c r="P9" s="76">
        <f t="shared" si="2"/>
        <v>1.4423999999999999E-4</v>
      </c>
      <c r="Q9" s="77">
        <f t="shared" si="3"/>
        <v>1.4423999999999999E-4</v>
      </c>
      <c r="R9" s="78">
        <f t="shared" si="4"/>
        <v>1940</v>
      </c>
      <c r="S9" s="79">
        <f t="shared" si="5"/>
        <v>0.29411764705882354</v>
      </c>
      <c r="T9" s="80">
        <f t="shared" si="6"/>
        <v>1.6814640074886921E-3</v>
      </c>
      <c r="U9" s="81">
        <f t="shared" si="7"/>
        <v>1.6814640074886921E-3</v>
      </c>
      <c r="V9" s="82">
        <f t="shared" si="8"/>
        <v>1.2101241486827618E-3</v>
      </c>
      <c r="W9" s="81">
        <f t="shared" si="9"/>
        <v>1.2101241486827618E-3</v>
      </c>
      <c r="X9" s="46">
        <v>5</v>
      </c>
      <c r="Y9" s="83">
        <f t="shared" si="10"/>
        <v>23.767922247077649</v>
      </c>
      <c r="Z9" s="84">
        <f t="shared" si="11"/>
        <v>23.739903230175116</v>
      </c>
      <c r="AA9" s="83">
        <f t="shared" si="12"/>
        <v>24.445686104457462</v>
      </c>
      <c r="AB9" s="84">
        <f t="shared" si="13"/>
        <v>24.424600305310406</v>
      </c>
    </row>
    <row r="10" spans="1:257">
      <c r="A10" s="46">
        <v>6</v>
      </c>
      <c r="B10" s="47">
        <v>2.165E-4</v>
      </c>
      <c r="C10" s="48">
        <v>3.7100918462187701E-2</v>
      </c>
      <c r="D10" s="49">
        <v>4.6539137000000001E-2</v>
      </c>
      <c r="E10" s="50">
        <v>0.8</v>
      </c>
      <c r="F10" s="49">
        <v>0.8</v>
      </c>
      <c r="G10" s="46">
        <v>6</v>
      </c>
      <c r="H10" s="47">
        <v>1.4129999999999999E-4</v>
      </c>
      <c r="I10" s="48">
        <v>4.0324857372786398E-2</v>
      </c>
      <c r="J10" s="49">
        <v>4.0324857372786398E-2</v>
      </c>
      <c r="K10" s="50">
        <v>0.8</v>
      </c>
      <c r="L10" s="49">
        <v>0.8</v>
      </c>
      <c r="M10" s="46">
        <v>6</v>
      </c>
      <c r="N10" s="75">
        <f t="shared" si="0"/>
        <v>1.7320000000000001E-4</v>
      </c>
      <c r="O10" s="76">
        <f t="shared" si="1"/>
        <v>1.7320000000000001E-4</v>
      </c>
      <c r="P10" s="76">
        <f t="shared" si="2"/>
        <v>1.1304E-4</v>
      </c>
      <c r="Q10" s="77">
        <f t="shared" si="3"/>
        <v>1.1304E-4</v>
      </c>
      <c r="R10" s="78">
        <f t="shared" si="4"/>
        <v>1941</v>
      </c>
      <c r="S10" s="79">
        <f t="shared" si="5"/>
        <v>0.3</v>
      </c>
      <c r="T10" s="80">
        <f t="shared" si="6"/>
        <v>1.2754651279534436E-3</v>
      </c>
      <c r="U10" s="81">
        <f t="shared" si="7"/>
        <v>1.2754651279534436E-3</v>
      </c>
      <c r="V10" s="82">
        <f t="shared" si="8"/>
        <v>8.4893668453894409E-4</v>
      </c>
      <c r="W10" s="81">
        <f t="shared" si="9"/>
        <v>8.4893668453894409E-4</v>
      </c>
      <c r="X10" s="46">
        <v>6</v>
      </c>
      <c r="Y10" s="83">
        <f t="shared" si="10"/>
        <v>23.718520976293259</v>
      </c>
      <c r="Z10" s="84">
        <f t="shared" si="11"/>
        <v>23.689332118701167</v>
      </c>
      <c r="AA10" s="83">
        <f t="shared" si="12"/>
        <v>24.413056377701572</v>
      </c>
      <c r="AB10" s="84">
        <f t="shared" si="13"/>
        <v>24.391100577344417</v>
      </c>
    </row>
    <row r="11" spans="1:257">
      <c r="A11" s="46">
        <v>7</v>
      </c>
      <c r="B11" s="47">
        <v>1.897E-4</v>
      </c>
      <c r="C11" s="48">
        <v>3.5790301824368202E-2</v>
      </c>
      <c r="D11" s="49">
        <v>4.6500036000000002E-2</v>
      </c>
      <c r="E11" s="50">
        <v>0.8</v>
      </c>
      <c r="F11" s="49">
        <v>0.8</v>
      </c>
      <c r="G11" s="46">
        <v>7</v>
      </c>
      <c r="H11" s="47">
        <v>1.183E-4</v>
      </c>
      <c r="I11" s="48">
        <v>3.9126975322244399E-2</v>
      </c>
      <c r="J11" s="49">
        <v>3.9126975322244399E-2</v>
      </c>
      <c r="K11" s="50">
        <v>0.8</v>
      </c>
      <c r="L11" s="49">
        <v>0.8</v>
      </c>
      <c r="M11" s="46">
        <v>7</v>
      </c>
      <c r="N11" s="75">
        <f t="shared" si="0"/>
        <v>1.5176000000000002E-4</v>
      </c>
      <c r="O11" s="76">
        <f t="shared" si="1"/>
        <v>1.5176000000000002E-4</v>
      </c>
      <c r="P11" s="76">
        <f t="shared" si="2"/>
        <v>9.4640000000000002E-5</v>
      </c>
      <c r="Q11" s="77">
        <f t="shared" si="3"/>
        <v>9.4640000000000002E-5</v>
      </c>
      <c r="R11" s="78">
        <f t="shared" si="4"/>
        <v>1942</v>
      </c>
      <c r="S11" s="79">
        <f t="shared" si="5"/>
        <v>0.30612244897959184</v>
      </c>
      <c r="T11" s="80">
        <f t="shared" si="6"/>
        <v>1.0293379706744091E-3</v>
      </c>
      <c r="U11" s="81">
        <f t="shared" si="7"/>
        <v>1.0293379706744091E-3</v>
      </c>
      <c r="V11" s="82">
        <f t="shared" si="8"/>
        <v>6.4374456579582764E-4</v>
      </c>
      <c r="W11" s="81">
        <f t="shared" si="9"/>
        <v>6.4374456579582764E-4</v>
      </c>
      <c r="X11" s="46">
        <v>7</v>
      </c>
      <c r="Y11" s="83">
        <f t="shared" si="10"/>
        <v>23.657436050043611</v>
      </c>
      <c r="Z11" s="84">
        <f t="shared" si="11"/>
        <v>23.627040870155831</v>
      </c>
      <c r="AA11" s="83">
        <f t="shared" si="12"/>
        <v>24.370267446857298</v>
      </c>
      <c r="AB11" s="84">
        <f t="shared" si="13"/>
        <v>24.3474140133678</v>
      </c>
    </row>
    <row r="12" spans="1:257">
      <c r="A12" s="46">
        <v>8</v>
      </c>
      <c r="B12" s="47">
        <v>1.6770000000000001E-4</v>
      </c>
      <c r="C12" s="48">
        <v>3.5418452426266997E-2</v>
      </c>
      <c r="D12" s="49">
        <v>4.6460934000000002E-2</v>
      </c>
      <c r="E12" s="50">
        <v>0.8</v>
      </c>
      <c r="F12" s="49">
        <v>0.8</v>
      </c>
      <c r="G12" s="46">
        <v>8</v>
      </c>
      <c r="H12" s="47">
        <v>1.066E-4</v>
      </c>
      <c r="I12" s="48">
        <v>3.8269717317477102E-2</v>
      </c>
      <c r="J12" s="49">
        <v>3.8269717317477102E-2</v>
      </c>
      <c r="K12" s="50">
        <v>0.8</v>
      </c>
      <c r="L12" s="49">
        <v>0.8</v>
      </c>
      <c r="M12" s="46">
        <v>8</v>
      </c>
      <c r="N12" s="75">
        <f t="shared" si="0"/>
        <v>1.3416E-4</v>
      </c>
      <c r="O12" s="76">
        <f t="shared" si="1"/>
        <v>1.3416E-4</v>
      </c>
      <c r="P12" s="76">
        <f t="shared" si="2"/>
        <v>8.528000000000001E-5</v>
      </c>
      <c r="Q12" s="77">
        <f t="shared" si="3"/>
        <v>8.528000000000001E-5</v>
      </c>
      <c r="R12" s="78">
        <f t="shared" si="4"/>
        <v>1943</v>
      </c>
      <c r="S12" s="79">
        <f t="shared" si="5"/>
        <v>0.3125</v>
      </c>
      <c r="T12" s="80">
        <f t="shared" si="6"/>
        <v>8.6675474375014672E-4</v>
      </c>
      <c r="U12" s="81">
        <f t="shared" si="7"/>
        <v>8.6675474375014672E-4</v>
      </c>
      <c r="V12" s="82">
        <f t="shared" si="8"/>
        <v>5.3533161267724791E-4</v>
      </c>
      <c r="W12" s="81">
        <f t="shared" si="9"/>
        <v>5.3533161267724791E-4</v>
      </c>
      <c r="X12" s="46">
        <v>8</v>
      </c>
      <c r="Y12" s="83">
        <f t="shared" si="10"/>
        <v>23.588013530024593</v>
      </c>
      <c r="Z12" s="84">
        <f t="shared" si="11"/>
        <v>23.556369971024498</v>
      </c>
      <c r="AA12" s="83">
        <f t="shared" si="12"/>
        <v>24.320734485392727</v>
      </c>
      <c r="AB12" s="84">
        <f t="shared" si="13"/>
        <v>24.296951604463292</v>
      </c>
    </row>
    <row r="13" spans="1:257">
      <c r="A13" s="46">
        <v>9</v>
      </c>
      <c r="B13" s="47">
        <v>1.5320000000000001E-4</v>
      </c>
      <c r="C13" s="48">
        <v>3.5463681285168802E-2</v>
      </c>
      <c r="D13" s="49">
        <v>4.6421832000000003E-2</v>
      </c>
      <c r="E13" s="50">
        <v>0.8</v>
      </c>
      <c r="F13" s="49">
        <v>0.8</v>
      </c>
      <c r="G13" s="46">
        <v>9</v>
      </c>
      <c r="H13" s="47">
        <v>1.0119999999999999E-4</v>
      </c>
      <c r="I13" s="48">
        <v>3.7556307195988202E-2</v>
      </c>
      <c r="J13" s="49">
        <v>3.7556307195988202E-2</v>
      </c>
      <c r="K13" s="50">
        <v>0.8</v>
      </c>
      <c r="L13" s="49">
        <v>0.8</v>
      </c>
      <c r="M13" s="46">
        <v>9</v>
      </c>
      <c r="N13" s="75">
        <f t="shared" si="0"/>
        <v>1.2256000000000002E-4</v>
      </c>
      <c r="O13" s="76">
        <f t="shared" si="1"/>
        <v>1.2256000000000002E-4</v>
      </c>
      <c r="P13" s="76">
        <f t="shared" si="2"/>
        <v>8.0959999999999997E-5</v>
      </c>
      <c r="Q13" s="77">
        <f t="shared" si="3"/>
        <v>8.0959999999999997E-5</v>
      </c>
      <c r="R13" s="78">
        <f t="shared" si="4"/>
        <v>1944</v>
      </c>
      <c r="S13" s="79">
        <f t="shared" si="5"/>
        <v>0.31914893617021278</v>
      </c>
      <c r="T13" s="80">
        <f t="shared" si="6"/>
        <v>7.6491597188291824E-4</v>
      </c>
      <c r="U13" s="81">
        <f t="shared" si="7"/>
        <v>7.6491597188291824E-4</v>
      </c>
      <c r="V13" s="82">
        <f t="shared" si="8"/>
        <v>4.7300295874660374E-4</v>
      </c>
      <c r="W13" s="81">
        <f t="shared" si="9"/>
        <v>4.7300295874660374E-4</v>
      </c>
      <c r="X13" s="46">
        <v>9</v>
      </c>
      <c r="Y13" s="83">
        <f t="shared" si="10"/>
        <v>23.511913133468656</v>
      </c>
      <c r="Z13" s="84">
        <f t="shared" si="11"/>
        <v>23.478975283070476</v>
      </c>
      <c r="AA13" s="83">
        <f t="shared" si="12"/>
        <v>24.266554518572985</v>
      </c>
      <c r="AB13" s="84">
        <f t="shared" si="13"/>
        <v>24.24180707431713</v>
      </c>
    </row>
    <row r="14" spans="1:257">
      <c r="A14" s="46">
        <v>10</v>
      </c>
      <c r="B14" s="47">
        <v>1.495E-4</v>
      </c>
      <c r="C14" s="48">
        <v>3.50190955E-2</v>
      </c>
      <c r="D14" s="49">
        <v>4.6382729999999997E-2</v>
      </c>
      <c r="E14" s="50">
        <v>0.8</v>
      </c>
      <c r="F14" s="49">
        <v>0.8</v>
      </c>
      <c r="G14" s="46">
        <v>10</v>
      </c>
      <c r="H14" s="47">
        <v>9.9199999999999999E-5</v>
      </c>
      <c r="I14" s="48">
        <v>3.667394928E-2</v>
      </c>
      <c r="J14" s="49">
        <v>3.6998400000000001E-2</v>
      </c>
      <c r="K14" s="50">
        <v>0.8</v>
      </c>
      <c r="L14" s="49">
        <v>0.8</v>
      </c>
      <c r="M14" s="46">
        <v>10</v>
      </c>
      <c r="N14" s="75">
        <f t="shared" si="0"/>
        <v>1.1960000000000001E-4</v>
      </c>
      <c r="O14" s="76">
        <f t="shared" si="1"/>
        <v>1.1960000000000001E-4</v>
      </c>
      <c r="P14" s="76">
        <f t="shared" si="2"/>
        <v>7.9359999999999999E-5</v>
      </c>
      <c r="Q14" s="77">
        <f t="shared" si="3"/>
        <v>7.9359999999999999E-5</v>
      </c>
      <c r="R14" s="78">
        <f t="shared" si="4"/>
        <v>1945</v>
      </c>
      <c r="S14" s="79">
        <f t="shared" si="5"/>
        <v>0.32608695652173914</v>
      </c>
      <c r="T14" s="80">
        <f t="shared" si="6"/>
        <v>7.1015677251226692E-4</v>
      </c>
      <c r="U14" s="81">
        <f t="shared" si="7"/>
        <v>7.1015677251226692E-4</v>
      </c>
      <c r="V14" s="82">
        <f t="shared" si="8"/>
        <v>4.3089433199368452E-4</v>
      </c>
      <c r="W14" s="81">
        <f t="shared" si="9"/>
        <v>4.3089433199368452E-4</v>
      </c>
      <c r="X14" s="46">
        <v>10</v>
      </c>
      <c r="Y14" s="83">
        <f t="shared" si="10"/>
        <v>23.430311878589535</v>
      </c>
      <c r="Z14" s="84">
        <f t="shared" si="11"/>
        <v>23.396030291642028</v>
      </c>
      <c r="AA14" s="83">
        <f t="shared" si="12"/>
        <v>24.208667470656842</v>
      </c>
      <c r="AB14" s="84">
        <f t="shared" si="13"/>
        <v>24.182917949030834</v>
      </c>
    </row>
    <row r="15" spans="1:257">
      <c r="A15" s="46">
        <v>11</v>
      </c>
      <c r="B15" s="47">
        <v>1.5650000000000001E-4</v>
      </c>
      <c r="C15" s="48">
        <v>3.3961967753471399E-2</v>
      </c>
      <c r="D15" s="49">
        <v>4.6343628999999997E-2</v>
      </c>
      <c r="E15" s="50">
        <v>0.8</v>
      </c>
      <c r="F15" s="49">
        <v>0.8</v>
      </c>
      <c r="G15" s="46">
        <v>11</v>
      </c>
      <c r="H15" s="47">
        <v>1.005E-4</v>
      </c>
      <c r="I15" s="48">
        <v>3.56215813061646E-2</v>
      </c>
      <c r="J15" s="49">
        <v>3.6431999999999999E-2</v>
      </c>
      <c r="K15" s="50">
        <v>0.8</v>
      </c>
      <c r="L15" s="49">
        <v>0.8</v>
      </c>
      <c r="M15" s="46">
        <v>11</v>
      </c>
      <c r="N15" s="75">
        <f t="shared" si="0"/>
        <v>1.2520000000000001E-4</v>
      </c>
      <c r="O15" s="76">
        <f t="shared" si="1"/>
        <v>1.2520000000000001E-4</v>
      </c>
      <c r="P15" s="76">
        <f t="shared" si="2"/>
        <v>8.0400000000000003E-5</v>
      </c>
      <c r="Q15" s="77">
        <f t="shared" si="3"/>
        <v>8.0400000000000003E-5</v>
      </c>
      <c r="R15" s="78">
        <f t="shared" si="4"/>
        <v>1946</v>
      </c>
      <c r="S15" s="79">
        <f t="shared" si="5"/>
        <v>0.33333333333333331</v>
      </c>
      <c r="T15" s="80">
        <f t="shared" si="6"/>
        <v>6.950097861591146E-4</v>
      </c>
      <c r="U15" s="81">
        <f t="shared" si="7"/>
        <v>6.950097861591146E-4</v>
      </c>
      <c r="V15" s="82">
        <f t="shared" si="8"/>
        <v>4.0429370862471393E-4</v>
      </c>
      <c r="W15" s="81">
        <f t="shared" si="9"/>
        <v>4.0429370862471393E-4</v>
      </c>
      <c r="X15" s="46">
        <v>11</v>
      </c>
      <c r="Y15" s="83">
        <f t="shared" si="10"/>
        <v>23.344102326098216</v>
      </c>
      <c r="Z15" s="84">
        <f t="shared" si="11"/>
        <v>23.308424138566302</v>
      </c>
      <c r="AA15" s="83">
        <f t="shared" si="12"/>
        <v>24.147419155529512</v>
      </c>
      <c r="AB15" s="84">
        <f t="shared" si="13"/>
        <v>24.120628108928333</v>
      </c>
    </row>
    <row r="16" spans="1:257">
      <c r="A16" s="46">
        <v>12</v>
      </c>
      <c r="B16" s="47">
        <v>1.716E-4</v>
      </c>
      <c r="C16" s="48">
        <v>3.2199539044582302E-2</v>
      </c>
      <c r="D16" s="49">
        <v>4.6304526999999998E-2</v>
      </c>
      <c r="E16" s="50">
        <v>0.8</v>
      </c>
      <c r="F16" s="49">
        <v>0.8</v>
      </c>
      <c r="G16" s="46">
        <v>12</v>
      </c>
      <c r="H16" s="47">
        <v>1.07E-4</v>
      </c>
      <c r="I16" s="48">
        <v>3.4404624979186102E-2</v>
      </c>
      <c r="J16" s="49">
        <v>3.5990399999999999E-2</v>
      </c>
      <c r="K16" s="50">
        <v>0.8</v>
      </c>
      <c r="L16" s="49">
        <v>0.8</v>
      </c>
      <c r="M16" s="46">
        <v>12</v>
      </c>
      <c r="N16" s="75">
        <f t="shared" si="0"/>
        <v>1.3728000000000001E-4</v>
      </c>
      <c r="O16" s="76">
        <f t="shared" si="1"/>
        <v>1.3728000000000001E-4</v>
      </c>
      <c r="P16" s="76">
        <f t="shared" si="2"/>
        <v>8.5600000000000007E-5</v>
      </c>
      <c r="Q16" s="77">
        <f t="shared" si="3"/>
        <v>8.5600000000000007E-5</v>
      </c>
      <c r="R16" s="78">
        <f t="shared" si="4"/>
        <v>1947</v>
      </c>
      <c r="S16" s="79">
        <f t="shared" si="5"/>
        <v>0.34090909090909088</v>
      </c>
      <c r="T16" s="80">
        <f t="shared" si="6"/>
        <v>6.9950795960472449E-4</v>
      </c>
      <c r="U16" s="81">
        <f t="shared" si="7"/>
        <v>6.9950795960472449E-4</v>
      </c>
      <c r="V16" s="82">
        <f t="shared" si="8"/>
        <v>3.9832784905664668E-4</v>
      </c>
      <c r="W16" s="81">
        <f t="shared" si="9"/>
        <v>3.9832784905664668E-4</v>
      </c>
      <c r="X16" s="46">
        <v>12</v>
      </c>
      <c r="Y16" s="83">
        <f t="shared" si="10"/>
        <v>23.254028196306201</v>
      </c>
      <c r="Z16" s="84">
        <f t="shared" si="11"/>
        <v>23.216897074780178</v>
      </c>
      <c r="AA16" s="83">
        <f t="shared" si="12"/>
        <v>24.083052548380486</v>
      </c>
      <c r="AB16" s="84">
        <f t="shared" si="13"/>
        <v>24.055178590649515</v>
      </c>
    </row>
    <row r="17" spans="1:28">
      <c r="A17" s="46">
        <v>13</v>
      </c>
      <c r="B17" s="47">
        <v>1.9790000000000001E-4</v>
      </c>
      <c r="C17" s="48">
        <v>2.9672326643207899E-2</v>
      </c>
      <c r="D17" s="49">
        <v>4.6265424999999999E-2</v>
      </c>
      <c r="E17" s="50">
        <v>0.8</v>
      </c>
      <c r="F17" s="49">
        <v>0.8</v>
      </c>
      <c r="G17" s="46">
        <v>13</v>
      </c>
      <c r="H17" s="47">
        <v>1.205E-4</v>
      </c>
      <c r="I17" s="48">
        <v>3.30356125475103E-2</v>
      </c>
      <c r="J17" s="49">
        <v>3.5616000000000002E-2</v>
      </c>
      <c r="K17" s="50">
        <v>0.8</v>
      </c>
      <c r="L17" s="49">
        <v>0.8</v>
      </c>
      <c r="M17" s="46">
        <v>13</v>
      </c>
      <c r="N17" s="75">
        <f t="shared" si="0"/>
        <v>1.5832000000000002E-4</v>
      </c>
      <c r="O17" s="76">
        <f t="shared" si="1"/>
        <v>1.5832000000000002E-4</v>
      </c>
      <c r="P17" s="76">
        <f t="shared" si="2"/>
        <v>9.6400000000000012E-5</v>
      </c>
      <c r="Q17" s="77">
        <f t="shared" si="3"/>
        <v>9.6400000000000012E-5</v>
      </c>
      <c r="R17" s="78">
        <f t="shared" si="4"/>
        <v>1948</v>
      </c>
      <c r="S17" s="79">
        <f t="shared" si="5"/>
        <v>0.34883720930232559</v>
      </c>
      <c r="T17" s="80">
        <f t="shared" si="6"/>
        <v>7.2736238693755291E-4</v>
      </c>
      <c r="U17" s="81">
        <f t="shared" si="7"/>
        <v>7.2736238693755291E-4</v>
      </c>
      <c r="V17" s="82">
        <f t="shared" si="8"/>
        <v>4.1477796499541188E-4</v>
      </c>
      <c r="W17" s="81">
        <f t="shared" si="9"/>
        <v>4.1477796499541188E-4</v>
      </c>
      <c r="X17" s="46">
        <v>13</v>
      </c>
      <c r="Y17" s="83">
        <f t="shared" si="10"/>
        <v>23.160390201451918</v>
      </c>
      <c r="Z17" s="84">
        <f t="shared" si="11"/>
        <v>23.121746803700542</v>
      </c>
      <c r="AA17" s="83">
        <f t="shared" si="12"/>
        <v>24.015940868384885</v>
      </c>
      <c r="AB17" s="84">
        <f t="shared" si="13"/>
        <v>23.986940400650742</v>
      </c>
    </row>
    <row r="18" spans="1:28">
      <c r="A18" s="46">
        <v>14</v>
      </c>
      <c r="B18" s="47">
        <v>2.6200000000000003E-4</v>
      </c>
      <c r="C18" s="48">
        <v>2.6357509630484E-2</v>
      </c>
      <c r="D18" s="49">
        <v>4.5430811000000001E-2</v>
      </c>
      <c r="E18" s="50">
        <v>0.8</v>
      </c>
      <c r="F18" s="49">
        <v>0.8</v>
      </c>
      <c r="G18" s="46">
        <v>14</v>
      </c>
      <c r="H18" s="47">
        <v>1.495E-4</v>
      </c>
      <c r="I18" s="48">
        <v>3.1564799999999997E-2</v>
      </c>
      <c r="J18" s="49">
        <v>3.5328508799999998E-2</v>
      </c>
      <c r="K18" s="50">
        <v>0.8</v>
      </c>
      <c r="L18" s="49">
        <v>0.8</v>
      </c>
      <c r="M18" s="46">
        <v>14</v>
      </c>
      <c r="N18" s="75">
        <f t="shared" si="0"/>
        <v>2.0960000000000003E-4</v>
      </c>
      <c r="O18" s="76">
        <f t="shared" si="1"/>
        <v>2.0960000000000003E-4</v>
      </c>
      <c r="P18" s="76">
        <f t="shared" si="2"/>
        <v>1.1960000000000001E-4</v>
      </c>
      <c r="Q18" s="77">
        <f t="shared" si="3"/>
        <v>1.1960000000000001E-4</v>
      </c>
      <c r="R18" s="78">
        <f t="shared" si="4"/>
        <v>1949</v>
      </c>
      <c r="S18" s="79">
        <f t="shared" si="5"/>
        <v>0.35714285714285715</v>
      </c>
      <c r="T18" s="80">
        <f t="shared" si="6"/>
        <v>8.4413790641112065E-4</v>
      </c>
      <c r="U18" s="81">
        <f t="shared" si="7"/>
        <v>8.4413790641112065E-4</v>
      </c>
      <c r="V18" s="82">
        <f t="shared" si="8"/>
        <v>4.7643441449022618E-4</v>
      </c>
      <c r="W18" s="81">
        <f t="shared" si="9"/>
        <v>4.7643441449022618E-4</v>
      </c>
      <c r="X18" s="46">
        <v>14</v>
      </c>
      <c r="Y18" s="83">
        <f t="shared" si="10"/>
        <v>23.063581391121975</v>
      </c>
      <c r="Z18" s="84">
        <f t="shared" si="11"/>
        <v>23.023363004118576</v>
      </c>
      <c r="AA18" s="83">
        <f t="shared" si="12"/>
        <v>23.946510988216716</v>
      </c>
      <c r="AB18" s="84">
        <f t="shared" si="13"/>
        <v>23.916337986677032</v>
      </c>
    </row>
    <row r="19" spans="1:28">
      <c r="A19" s="46">
        <v>15</v>
      </c>
      <c r="B19" s="47">
        <v>3.9609999999999998E-4</v>
      </c>
      <c r="C19" s="48">
        <v>2.2272274196285701E-2</v>
      </c>
      <c r="D19" s="49">
        <v>4.3005172000000001E-2</v>
      </c>
      <c r="E19" s="50">
        <v>0.8</v>
      </c>
      <c r="F19" s="49">
        <v>0.8</v>
      </c>
      <c r="G19" s="46">
        <v>15</v>
      </c>
      <c r="H19" s="47">
        <v>2.0699999999999999E-4</v>
      </c>
      <c r="I19" s="48">
        <v>3.0115200000000002E-2</v>
      </c>
      <c r="J19" s="49">
        <v>3.5079926400000003E-2</v>
      </c>
      <c r="K19" s="50">
        <v>0.8</v>
      </c>
      <c r="L19" s="49">
        <v>0.8</v>
      </c>
      <c r="M19" s="46">
        <v>15</v>
      </c>
      <c r="N19" s="75">
        <f t="shared" si="0"/>
        <v>3.1688000000000002E-4</v>
      </c>
      <c r="O19" s="76">
        <f t="shared" si="1"/>
        <v>3.1688000000000002E-4</v>
      </c>
      <c r="P19" s="76">
        <f t="shared" si="2"/>
        <v>1.6560000000000001E-4</v>
      </c>
      <c r="Q19" s="77">
        <f t="shared" si="3"/>
        <v>1.6560000000000001E-4</v>
      </c>
      <c r="R19" s="78">
        <f t="shared" si="4"/>
        <v>1950</v>
      </c>
      <c r="S19" s="79">
        <f t="shared" si="5"/>
        <v>0.36585365853658536</v>
      </c>
      <c r="T19" s="80">
        <f t="shared" si="6"/>
        <v>1.0778028636296939E-3</v>
      </c>
      <c r="U19" s="81">
        <f t="shared" si="7"/>
        <v>1.0778028636296939E-3</v>
      </c>
      <c r="V19" s="82">
        <f t="shared" si="8"/>
        <v>6.1324794856723402E-4</v>
      </c>
      <c r="W19" s="81">
        <f t="shared" si="9"/>
        <v>6.1324794856723402E-4</v>
      </c>
      <c r="X19" s="46">
        <v>15</v>
      </c>
      <c r="Y19" s="83">
        <f t="shared" si="10"/>
        <v>22.965510704892946</v>
      </c>
      <c r="Z19" s="84">
        <f t="shared" si="11"/>
        <v>22.923648244719924</v>
      </c>
      <c r="AA19" s="83">
        <f t="shared" si="12"/>
        <v>23.875746655123539</v>
      </c>
      <c r="AB19" s="84">
        <f t="shared" si="13"/>
        <v>23.844351775921375</v>
      </c>
    </row>
    <row r="20" spans="1:28">
      <c r="A20" s="46">
        <v>16</v>
      </c>
      <c r="B20" s="47">
        <v>6.2370000000000004E-4</v>
      </c>
      <c r="C20" s="48">
        <v>1.9279999999999999E-2</v>
      </c>
      <c r="D20" s="49">
        <v>3.8988507999999998E-2</v>
      </c>
      <c r="E20" s="50">
        <v>0.8</v>
      </c>
      <c r="F20" s="49">
        <v>0.8</v>
      </c>
      <c r="G20" s="46">
        <v>16</v>
      </c>
      <c r="H20" s="47">
        <v>2.8160000000000001E-4</v>
      </c>
      <c r="I20" s="48">
        <v>2.90592E-2</v>
      </c>
      <c r="J20" s="49">
        <v>3.4831344E-2</v>
      </c>
      <c r="K20" s="50">
        <v>0.8</v>
      </c>
      <c r="L20" s="49">
        <v>0.8</v>
      </c>
      <c r="M20" s="46">
        <v>16</v>
      </c>
      <c r="N20" s="75">
        <f t="shared" si="0"/>
        <v>4.9896000000000001E-4</v>
      </c>
      <c r="O20" s="76">
        <f t="shared" si="1"/>
        <v>4.9896000000000001E-4</v>
      </c>
      <c r="P20" s="76">
        <f t="shared" si="2"/>
        <v>2.2528000000000001E-4</v>
      </c>
      <c r="Q20" s="77">
        <f t="shared" si="3"/>
        <v>2.2528000000000001E-4</v>
      </c>
      <c r="R20" s="78">
        <f t="shared" si="4"/>
        <v>1951</v>
      </c>
      <c r="S20" s="79">
        <f t="shared" si="5"/>
        <v>0.375</v>
      </c>
      <c r="T20" s="80">
        <f t="shared" si="6"/>
        <v>1.4500503402385288E-3</v>
      </c>
      <c r="U20" s="81">
        <f t="shared" si="7"/>
        <v>1.4500503402385288E-3</v>
      </c>
      <c r="V20" s="82">
        <f t="shared" si="8"/>
        <v>7.8547940074783439E-4</v>
      </c>
      <c r="W20" s="81">
        <f t="shared" si="9"/>
        <v>7.8547940074783439E-4</v>
      </c>
      <c r="X20" s="46">
        <v>16</v>
      </c>
      <c r="Y20" s="83">
        <f t="shared" si="10"/>
        <v>22.868779168764476</v>
      </c>
      <c r="Z20" s="84">
        <f t="shared" si="11"/>
        <v>22.825195235296235</v>
      </c>
      <c r="AA20" s="83">
        <f t="shared" si="12"/>
        <v>23.805375118784951</v>
      </c>
      <c r="AB20" s="84">
        <f t="shared" si="13"/>
        <v>23.772704409169052</v>
      </c>
    </row>
    <row r="21" spans="1:28">
      <c r="A21" s="46">
        <v>17</v>
      </c>
      <c r="B21" s="47">
        <v>9.6239999999999997E-4</v>
      </c>
      <c r="C21" s="48">
        <v>1.7510000000000001E-2</v>
      </c>
      <c r="D21" s="49">
        <v>3.474E-2</v>
      </c>
      <c r="E21" s="50">
        <v>0.8</v>
      </c>
      <c r="F21" s="49">
        <v>0.8</v>
      </c>
      <c r="G21" s="46">
        <v>17</v>
      </c>
      <c r="H21" s="47">
        <v>3.2939999999999998E-4</v>
      </c>
      <c r="I21" s="48">
        <v>2.8080000000000001E-2</v>
      </c>
      <c r="J21" s="49">
        <v>3.4582761599999998E-2</v>
      </c>
      <c r="K21" s="50">
        <v>0.8</v>
      </c>
      <c r="L21" s="49">
        <v>0.8</v>
      </c>
      <c r="M21" s="46">
        <v>17</v>
      </c>
      <c r="N21" s="75">
        <f t="shared" si="0"/>
        <v>7.6992E-4</v>
      </c>
      <c r="O21" s="76">
        <f t="shared" si="1"/>
        <v>7.6992E-4</v>
      </c>
      <c r="P21" s="76">
        <f t="shared" si="2"/>
        <v>2.6352E-4</v>
      </c>
      <c r="Q21" s="77">
        <f t="shared" si="3"/>
        <v>2.6352E-4</v>
      </c>
      <c r="R21" s="78">
        <f t="shared" si="4"/>
        <v>1952</v>
      </c>
      <c r="S21" s="79">
        <f t="shared" si="5"/>
        <v>0.38461538461538464</v>
      </c>
      <c r="T21" s="80">
        <f t="shared" si="6"/>
        <v>1.9736237783348053E-3</v>
      </c>
      <c r="U21" s="81">
        <f t="shared" si="7"/>
        <v>1.9736237783348053E-3</v>
      </c>
      <c r="V21" s="82">
        <f t="shared" si="8"/>
        <v>8.6852006670560329E-4</v>
      </c>
      <c r="W21" s="81">
        <f t="shared" si="9"/>
        <v>8.6852006670560329E-4</v>
      </c>
      <c r="X21" s="46">
        <v>17</v>
      </c>
      <c r="Y21" s="83">
        <f t="shared" si="10"/>
        <v>22.776557490453552</v>
      </c>
      <c r="Z21" s="84">
        <f t="shared" si="11"/>
        <v>22.731164377347476</v>
      </c>
      <c r="AA21" s="83">
        <f t="shared" si="12"/>
        <v>23.736234446745591</v>
      </c>
      <c r="AB21" s="84">
        <f t="shared" si="13"/>
        <v>23.702230199109</v>
      </c>
    </row>
    <row r="22" spans="1:28">
      <c r="A22" s="46">
        <v>18</v>
      </c>
      <c r="B22" s="47">
        <v>1.3468E-3</v>
      </c>
      <c r="C22" s="48">
        <v>1.6729999999999998E-2</v>
      </c>
      <c r="D22" s="49">
        <v>3.1899999999999998E-2</v>
      </c>
      <c r="E22" s="50">
        <v>0.8</v>
      </c>
      <c r="F22" s="49">
        <v>0.8</v>
      </c>
      <c r="G22" s="46">
        <v>18</v>
      </c>
      <c r="H22" s="47">
        <v>3.7510000000000001E-4</v>
      </c>
      <c r="I22" s="48">
        <v>2.74848E-2</v>
      </c>
      <c r="J22" s="49">
        <v>3.4334179200000002E-2</v>
      </c>
      <c r="K22" s="50">
        <v>0.8</v>
      </c>
      <c r="L22" s="49">
        <v>0.8</v>
      </c>
      <c r="M22" s="46">
        <v>18</v>
      </c>
      <c r="N22" s="75">
        <f t="shared" si="0"/>
        <v>1.07744E-3</v>
      </c>
      <c r="O22" s="76">
        <f t="shared" si="1"/>
        <v>1.07744E-3</v>
      </c>
      <c r="P22" s="76">
        <f t="shared" si="2"/>
        <v>3.0008000000000004E-4</v>
      </c>
      <c r="Q22" s="77">
        <f t="shared" si="3"/>
        <v>3.0008000000000004E-4</v>
      </c>
      <c r="R22" s="78">
        <f t="shared" si="4"/>
        <v>1953</v>
      </c>
      <c r="S22" s="79">
        <f t="shared" si="5"/>
        <v>0.39473684210526316</v>
      </c>
      <c r="T22" s="80">
        <f t="shared" si="6"/>
        <v>2.5545545320091942E-3</v>
      </c>
      <c r="U22" s="81">
        <f t="shared" si="7"/>
        <v>2.5545545320091942E-3</v>
      </c>
      <c r="V22" s="82">
        <f t="shared" si="8"/>
        <v>9.4502576698577854E-4</v>
      </c>
      <c r="W22" s="81">
        <f t="shared" si="9"/>
        <v>9.4502576698577854E-4</v>
      </c>
      <c r="X22" s="46">
        <v>18</v>
      </c>
      <c r="Y22" s="83">
        <f t="shared" si="10"/>
        <v>22.692406062263807</v>
      </c>
      <c r="Z22" s="84">
        <f t="shared" si="11"/>
        <v>22.64510386789792</v>
      </c>
      <c r="AA22" s="83">
        <f t="shared" si="12"/>
        <v>23.666238427593221</v>
      </c>
      <c r="AB22" s="84">
        <f t="shared" si="13"/>
        <v>23.630843268645354</v>
      </c>
    </row>
    <row r="23" spans="1:28">
      <c r="A23" s="46">
        <v>19</v>
      </c>
      <c r="B23" s="47">
        <v>1.5062000000000001E-3</v>
      </c>
      <c r="C23" s="48">
        <v>1.634E-2</v>
      </c>
      <c r="D23" s="49">
        <v>3.0630000000000001E-2</v>
      </c>
      <c r="E23" s="50">
        <v>0.8</v>
      </c>
      <c r="F23" s="49">
        <v>0.8</v>
      </c>
      <c r="G23" s="46">
        <v>19</v>
      </c>
      <c r="H23" s="47">
        <v>4.0279999999999998E-4</v>
      </c>
      <c r="I23" s="48">
        <v>2.7158399999999999E-2</v>
      </c>
      <c r="J23" s="49">
        <v>3.40855968E-2</v>
      </c>
      <c r="K23" s="50">
        <v>0.8</v>
      </c>
      <c r="L23" s="49">
        <v>0.8</v>
      </c>
      <c r="M23" s="46">
        <v>19</v>
      </c>
      <c r="N23" s="75">
        <f t="shared" si="0"/>
        <v>1.2049600000000001E-3</v>
      </c>
      <c r="O23" s="76">
        <f t="shared" si="1"/>
        <v>1.2049600000000001E-3</v>
      </c>
      <c r="P23" s="76">
        <f t="shared" si="2"/>
        <v>3.2224E-4</v>
      </c>
      <c r="Q23" s="77">
        <f t="shared" si="3"/>
        <v>3.2224E-4</v>
      </c>
      <c r="R23" s="78">
        <f t="shared" si="4"/>
        <v>1954</v>
      </c>
      <c r="S23" s="79">
        <f t="shared" si="5"/>
        <v>0.40540540540540543</v>
      </c>
      <c r="T23" s="80">
        <f t="shared" si="6"/>
        <v>2.7329356780303837E-3</v>
      </c>
      <c r="U23" s="81">
        <f t="shared" si="7"/>
        <v>2.7329356780303837E-3</v>
      </c>
      <c r="V23" s="82">
        <f t="shared" si="8"/>
        <v>9.7658848585879246E-4</v>
      </c>
      <c r="W23" s="81">
        <f t="shared" si="9"/>
        <v>9.7658848585879246E-4</v>
      </c>
      <c r="X23" s="46">
        <v>19</v>
      </c>
      <c r="Y23" s="83">
        <f t="shared" si="10"/>
        <v>22.617880914950089</v>
      </c>
      <c r="Z23" s="84">
        <f t="shared" si="11"/>
        <v>22.568560641481458</v>
      </c>
      <c r="AA23" s="83">
        <f t="shared" si="12"/>
        <v>23.595186023465949</v>
      </c>
      <c r="AB23" s="84">
        <f t="shared" si="13"/>
        <v>23.558340237943444</v>
      </c>
    </row>
    <row r="24" spans="1:28">
      <c r="A24" s="46">
        <v>20</v>
      </c>
      <c r="B24" s="47">
        <v>1.4672999999999999E-3</v>
      </c>
      <c r="C24" s="48">
        <v>1.6E-2</v>
      </c>
      <c r="D24" s="49">
        <v>3.0068540000000001E-2</v>
      </c>
      <c r="E24" s="50">
        <v>0.8</v>
      </c>
      <c r="F24" s="49">
        <v>0.8</v>
      </c>
      <c r="G24" s="46">
        <v>20</v>
      </c>
      <c r="H24" s="47">
        <v>4.0470000000000002E-4</v>
      </c>
      <c r="I24" s="48">
        <v>2.680536E-2</v>
      </c>
      <c r="J24" s="49">
        <v>3.3837014399999997E-2</v>
      </c>
      <c r="K24" s="50">
        <v>0.8</v>
      </c>
      <c r="L24" s="49">
        <v>0.8</v>
      </c>
      <c r="M24" s="46">
        <v>20</v>
      </c>
      <c r="N24" s="75">
        <f t="shared" si="0"/>
        <v>1.17384E-3</v>
      </c>
      <c r="O24" s="76">
        <f t="shared" si="1"/>
        <v>1.17384E-3</v>
      </c>
      <c r="P24" s="76">
        <f t="shared" si="2"/>
        <v>3.2376000000000003E-4</v>
      </c>
      <c r="Q24" s="77">
        <f t="shared" si="3"/>
        <v>3.2376000000000003E-4</v>
      </c>
      <c r="R24" s="78">
        <f t="shared" si="4"/>
        <v>1955</v>
      </c>
      <c r="S24" s="79">
        <f t="shared" si="5"/>
        <v>0.41666666666666669</v>
      </c>
      <c r="T24" s="80">
        <f t="shared" si="6"/>
        <v>2.5787596458678726E-3</v>
      </c>
      <c r="U24" s="81">
        <f t="shared" si="7"/>
        <v>2.5787596458678726E-3</v>
      </c>
      <c r="V24" s="82">
        <f t="shared" si="8"/>
        <v>9.4432489613533843E-4</v>
      </c>
      <c r="W24" s="81">
        <f t="shared" si="9"/>
        <v>9.4432489613533843E-4</v>
      </c>
      <c r="X24" s="46">
        <v>20</v>
      </c>
      <c r="Y24" s="83">
        <f t="shared" si="10"/>
        <v>22.544208021984314</v>
      </c>
      <c r="Z24" s="84">
        <f t="shared" si="11"/>
        <v>22.492774372721815</v>
      </c>
      <c r="AA24" s="83">
        <f t="shared" si="12"/>
        <v>23.521964744338689</v>
      </c>
      <c r="AB24" s="84">
        <f t="shared" si="13"/>
        <v>23.483607668316488</v>
      </c>
    </row>
    <row r="25" spans="1:28">
      <c r="A25" s="46">
        <v>21</v>
      </c>
      <c r="B25" s="47">
        <v>1.3738999999999999E-3</v>
      </c>
      <c r="C25" s="48">
        <v>1.5915459999999999E-2</v>
      </c>
      <c r="D25" s="49">
        <v>2.988563E-2</v>
      </c>
      <c r="E25" s="50">
        <v>0.8</v>
      </c>
      <c r="F25" s="49">
        <v>0.8</v>
      </c>
      <c r="G25" s="46">
        <v>21</v>
      </c>
      <c r="H25" s="47">
        <v>3.8929999999999998E-4</v>
      </c>
      <c r="I25" s="48">
        <v>2.65969632E-2</v>
      </c>
      <c r="J25" s="49">
        <v>3.3588432000000001E-2</v>
      </c>
      <c r="K25" s="50">
        <v>0.8</v>
      </c>
      <c r="L25" s="49">
        <v>0.8</v>
      </c>
      <c r="M25" s="46">
        <v>21</v>
      </c>
      <c r="N25" s="75">
        <f t="shared" si="0"/>
        <v>1.0991200000000001E-3</v>
      </c>
      <c r="O25" s="76">
        <f t="shared" si="1"/>
        <v>1.0991200000000001E-3</v>
      </c>
      <c r="P25" s="76">
        <f t="shared" si="2"/>
        <v>3.1144000000000001E-4</v>
      </c>
      <c r="Q25" s="77">
        <f t="shared" si="3"/>
        <v>3.1144000000000001E-4</v>
      </c>
      <c r="R25" s="78">
        <f t="shared" si="4"/>
        <v>1956</v>
      </c>
      <c r="S25" s="79">
        <f t="shared" si="5"/>
        <v>0.42857142857142855</v>
      </c>
      <c r="T25" s="80">
        <f t="shared" si="6"/>
        <v>2.3657699036763323E-3</v>
      </c>
      <c r="U25" s="81">
        <f t="shared" si="7"/>
        <v>2.3657699036763323E-3</v>
      </c>
      <c r="V25" s="82">
        <f t="shared" si="8"/>
        <v>8.7740829898864242E-4</v>
      </c>
      <c r="W25" s="81">
        <f t="shared" si="9"/>
        <v>8.7740829898864242E-4</v>
      </c>
      <c r="X25" s="46">
        <v>21</v>
      </c>
      <c r="Y25" s="83">
        <f t="shared" si="10"/>
        <v>22.463905355483003</v>
      </c>
      <c r="Z25" s="84">
        <f t="shared" si="11"/>
        <v>22.410276063195216</v>
      </c>
      <c r="AA25" s="83">
        <f t="shared" si="12"/>
        <v>23.444983015263023</v>
      </c>
      <c r="AB25" s="84">
        <f t="shared" si="13"/>
        <v>23.405053950189703</v>
      </c>
    </row>
    <row r="26" spans="1:28">
      <c r="A26" s="46">
        <v>22</v>
      </c>
      <c r="B26" s="47">
        <v>1.2821E-3</v>
      </c>
      <c r="C26" s="48">
        <v>1.5826960000000001E-2</v>
      </c>
      <c r="D26" s="49">
        <v>2.970619E-2</v>
      </c>
      <c r="E26" s="50">
        <v>0.8</v>
      </c>
      <c r="F26" s="49">
        <v>0.8</v>
      </c>
      <c r="G26" s="46">
        <v>22</v>
      </c>
      <c r="H26" s="47">
        <v>3.6959999999999998E-4</v>
      </c>
      <c r="I26" s="48">
        <v>2.6386857600000001E-2</v>
      </c>
      <c r="J26" s="49">
        <v>3.3341615999999998E-2</v>
      </c>
      <c r="K26" s="50">
        <v>0.8</v>
      </c>
      <c r="L26" s="49">
        <v>0.8</v>
      </c>
      <c r="M26" s="46">
        <v>22</v>
      </c>
      <c r="N26" s="75">
        <f t="shared" si="0"/>
        <v>1.02568E-3</v>
      </c>
      <c r="O26" s="76">
        <f t="shared" si="1"/>
        <v>1.02568E-3</v>
      </c>
      <c r="P26" s="76">
        <f t="shared" si="2"/>
        <v>2.9567999999999999E-4</v>
      </c>
      <c r="Q26" s="77">
        <f t="shared" si="3"/>
        <v>2.9567999999999999E-4</v>
      </c>
      <c r="R26" s="78">
        <f t="shared" si="4"/>
        <v>1957</v>
      </c>
      <c r="S26" s="79">
        <f t="shared" si="5"/>
        <v>0.44117647058823528</v>
      </c>
      <c r="T26" s="80">
        <f t="shared" si="6"/>
        <v>2.1633563842366663E-3</v>
      </c>
      <c r="U26" s="81">
        <f t="shared" si="7"/>
        <v>2.1633563842366663E-3</v>
      </c>
      <c r="V26" s="82">
        <f t="shared" si="8"/>
        <v>8.0492758983183993E-4</v>
      </c>
      <c r="W26" s="81">
        <f t="shared" si="9"/>
        <v>8.0492758983183993E-4</v>
      </c>
      <c r="X26" s="46">
        <v>22</v>
      </c>
      <c r="Y26" s="83">
        <f t="shared" si="10"/>
        <v>22.375396609584101</v>
      </c>
      <c r="Z26" s="84">
        <f t="shared" si="11"/>
        <v>22.319489883153999</v>
      </c>
      <c r="AA26" s="83">
        <f t="shared" si="12"/>
        <v>23.363281472929504</v>
      </c>
      <c r="AB26" s="84">
        <f t="shared" si="13"/>
        <v>23.321718777799614</v>
      </c>
    </row>
    <row r="27" spans="1:28">
      <c r="A27" s="46">
        <v>23</v>
      </c>
      <c r="B27" s="47">
        <v>1.2317000000000001E-3</v>
      </c>
      <c r="C27" s="48">
        <v>1.573457E-2</v>
      </c>
      <c r="D27" s="49">
        <v>2.9529980000000001E-2</v>
      </c>
      <c r="E27" s="50">
        <v>0.8</v>
      </c>
      <c r="F27" s="49">
        <v>0.8</v>
      </c>
      <c r="G27" s="46">
        <v>23</v>
      </c>
      <c r="H27" s="47">
        <v>3.5530000000000002E-4</v>
      </c>
      <c r="I27" s="48">
        <v>2.6175033600000001E-2</v>
      </c>
      <c r="J27" s="49">
        <v>3.3096460799999998E-2</v>
      </c>
      <c r="K27" s="50">
        <v>0.8</v>
      </c>
      <c r="L27" s="49">
        <v>0.8</v>
      </c>
      <c r="M27" s="46">
        <v>23</v>
      </c>
      <c r="N27" s="75">
        <f t="shared" si="0"/>
        <v>9.8536000000000001E-4</v>
      </c>
      <c r="O27" s="76">
        <f t="shared" si="1"/>
        <v>9.8536000000000001E-4</v>
      </c>
      <c r="P27" s="76">
        <f t="shared" si="2"/>
        <v>2.8424E-4</v>
      </c>
      <c r="Q27" s="77">
        <f t="shared" si="3"/>
        <v>2.8424E-4</v>
      </c>
      <c r="R27" s="78">
        <f t="shared" si="4"/>
        <v>1958</v>
      </c>
      <c r="S27" s="79">
        <f t="shared" si="5"/>
        <v>0.45454545454545453</v>
      </c>
      <c r="T27" s="80">
        <f t="shared" si="6"/>
        <v>2.036889191041892E-3</v>
      </c>
      <c r="U27" s="81">
        <f t="shared" si="7"/>
        <v>2.036889191041892E-3</v>
      </c>
      <c r="V27" s="82">
        <f t="shared" si="8"/>
        <v>7.4801009099071053E-4</v>
      </c>
      <c r="W27" s="81">
        <f t="shared" si="9"/>
        <v>7.4801009099071053E-4</v>
      </c>
      <c r="X27" s="46">
        <v>23</v>
      </c>
      <c r="Y27" s="83">
        <f t="shared" si="10"/>
        <v>22.278609045077047</v>
      </c>
      <c r="Z27" s="84">
        <f t="shared" si="11"/>
        <v>22.220339992863632</v>
      </c>
      <c r="AA27" s="83">
        <f t="shared" si="12"/>
        <v>23.276548668065676</v>
      </c>
      <c r="AB27" s="84">
        <f t="shared" si="13"/>
        <v>23.233288643943638</v>
      </c>
    </row>
    <row r="28" spans="1:28">
      <c r="A28" s="46">
        <v>24</v>
      </c>
      <c r="B28" s="47">
        <v>1.2003999999999999E-3</v>
      </c>
      <c r="C28" s="48">
        <v>1.5638349999999999E-2</v>
      </c>
      <c r="D28" s="49">
        <v>2.9356770000000001E-2</v>
      </c>
      <c r="E28" s="50">
        <v>0.8</v>
      </c>
      <c r="F28" s="49">
        <v>0.8</v>
      </c>
      <c r="G28" s="46">
        <v>24</v>
      </c>
      <c r="H28" s="47">
        <v>3.4459999999999997E-4</v>
      </c>
      <c r="I28" s="48">
        <v>2.5961491199999999E-2</v>
      </c>
      <c r="J28" s="49">
        <v>3.2852860800000001E-2</v>
      </c>
      <c r="K28" s="50">
        <v>0.8</v>
      </c>
      <c r="L28" s="49">
        <v>0.8</v>
      </c>
      <c r="M28" s="46">
        <v>24</v>
      </c>
      <c r="N28" s="75">
        <f t="shared" si="0"/>
        <v>9.6031999999999997E-4</v>
      </c>
      <c r="O28" s="76">
        <f t="shared" si="1"/>
        <v>9.6031999999999997E-4</v>
      </c>
      <c r="P28" s="76">
        <f t="shared" si="2"/>
        <v>2.7567999999999999E-4</v>
      </c>
      <c r="Q28" s="77">
        <f t="shared" si="3"/>
        <v>2.7567999999999999E-4</v>
      </c>
      <c r="R28" s="78">
        <f t="shared" si="4"/>
        <v>1959</v>
      </c>
      <c r="S28" s="79">
        <f t="shared" si="5"/>
        <v>0.46875</v>
      </c>
      <c r="T28" s="80">
        <f t="shared" si="6"/>
        <v>1.9458809074830747E-3</v>
      </c>
      <c r="U28" s="81">
        <f t="shared" si="7"/>
        <v>1.9458809074830747E-3</v>
      </c>
      <c r="V28" s="82">
        <f t="shared" si="8"/>
        <v>7.0161094092105372E-4</v>
      </c>
      <c r="W28" s="81">
        <f t="shared" si="9"/>
        <v>7.0161094092105372E-4</v>
      </c>
      <c r="X28" s="46">
        <v>24</v>
      </c>
      <c r="Y28" s="83">
        <f t="shared" si="10"/>
        <v>22.174921264315621</v>
      </c>
      <c r="Z28" s="84">
        <f t="shared" si="11"/>
        <v>22.114197762970136</v>
      </c>
      <c r="AA28" s="83">
        <f t="shared" si="12"/>
        <v>23.184953193736366</v>
      </c>
      <c r="AB28" s="84">
        <f t="shared" si="13"/>
        <v>23.139929090165641</v>
      </c>
    </row>
    <row r="29" spans="1:28">
      <c r="A29" s="46">
        <v>25</v>
      </c>
      <c r="B29" s="47">
        <v>1.1735999999999999E-3</v>
      </c>
      <c r="C29" s="48">
        <v>1.5538359999999999E-2</v>
      </c>
      <c r="D29" s="49">
        <v>2.9186320000000002E-2</v>
      </c>
      <c r="E29" s="50">
        <v>0.8</v>
      </c>
      <c r="F29" s="49">
        <v>0.8</v>
      </c>
      <c r="G29" s="46">
        <v>25</v>
      </c>
      <c r="H29" s="47">
        <v>3.3829999999999998E-4</v>
      </c>
      <c r="I29" s="48">
        <v>2.5746201600000001E-2</v>
      </c>
      <c r="J29" s="49">
        <v>3.2610700800000003E-2</v>
      </c>
      <c r="K29" s="50">
        <v>0.8</v>
      </c>
      <c r="L29" s="49">
        <v>0.8</v>
      </c>
      <c r="M29" s="46">
        <v>25</v>
      </c>
      <c r="N29" s="75">
        <f t="shared" si="0"/>
        <v>9.3888000000000001E-4</v>
      </c>
      <c r="O29" s="76">
        <f t="shared" si="1"/>
        <v>9.3888000000000001E-4</v>
      </c>
      <c r="P29" s="76">
        <f t="shared" si="2"/>
        <v>2.7064E-4</v>
      </c>
      <c r="Q29" s="77">
        <f t="shared" si="3"/>
        <v>2.7064E-4</v>
      </c>
      <c r="R29" s="78">
        <f t="shared" si="4"/>
        <v>1960</v>
      </c>
      <c r="S29" s="79">
        <f t="shared" si="5"/>
        <v>0.4838709677419355</v>
      </c>
      <c r="T29" s="80">
        <f t="shared" si="6"/>
        <v>1.8651490258631055E-3</v>
      </c>
      <c r="U29" s="81">
        <f t="shared" si="7"/>
        <v>1.8651490258631055E-3</v>
      </c>
      <c r="V29" s="82">
        <f t="shared" si="8"/>
        <v>6.6639944770111709E-4</v>
      </c>
      <c r="W29" s="81">
        <f t="shared" si="9"/>
        <v>6.6639944770111709E-4</v>
      </c>
      <c r="X29" s="46">
        <v>25</v>
      </c>
      <c r="Y29" s="83">
        <f t="shared" si="10"/>
        <v>22.064853692414726</v>
      </c>
      <c r="Z29" s="84">
        <f t="shared" si="11"/>
        <v>22.001578124295509</v>
      </c>
      <c r="AA29" s="83">
        <f t="shared" si="12"/>
        <v>23.088550501127422</v>
      </c>
      <c r="AB29" s="84">
        <f t="shared" si="13"/>
        <v>23.041692557367856</v>
      </c>
    </row>
    <row r="30" spans="1:28">
      <c r="A30" s="46">
        <v>26</v>
      </c>
      <c r="B30" s="47">
        <v>1.1590000000000001E-3</v>
      </c>
      <c r="C30" s="48">
        <v>1.5434669999999999E-2</v>
      </c>
      <c r="D30" s="49">
        <v>2.9018410000000001E-2</v>
      </c>
      <c r="E30" s="50">
        <v>0.8</v>
      </c>
      <c r="F30" s="49">
        <v>0.8</v>
      </c>
      <c r="G30" s="46">
        <v>26</v>
      </c>
      <c r="H30" s="47">
        <v>3.501E-4</v>
      </c>
      <c r="I30" s="48">
        <v>2.55291552E-2</v>
      </c>
      <c r="J30" s="49">
        <v>3.2369875200000002E-2</v>
      </c>
      <c r="K30" s="50">
        <v>0.8</v>
      </c>
      <c r="L30" s="49">
        <v>0.8</v>
      </c>
      <c r="M30" s="46">
        <v>26</v>
      </c>
      <c r="N30" s="75">
        <f t="shared" si="0"/>
        <v>9.2720000000000009E-4</v>
      </c>
      <c r="O30" s="76">
        <f t="shared" si="1"/>
        <v>9.2720000000000009E-4</v>
      </c>
      <c r="P30" s="76">
        <f t="shared" si="2"/>
        <v>2.8007999999999999E-4</v>
      </c>
      <c r="Q30" s="77">
        <f t="shared" si="3"/>
        <v>2.8007999999999999E-4</v>
      </c>
      <c r="R30" s="78">
        <f t="shared" si="4"/>
        <v>1961</v>
      </c>
      <c r="S30" s="79">
        <f t="shared" si="5"/>
        <v>0.5</v>
      </c>
      <c r="T30" s="80">
        <f t="shared" si="6"/>
        <v>1.8061729473162085E-3</v>
      </c>
      <c r="U30" s="81">
        <f t="shared" si="7"/>
        <v>1.8061729473162085E-3</v>
      </c>
      <c r="V30" s="82">
        <f t="shared" si="8"/>
        <v>6.6751424618533689E-4</v>
      </c>
      <c r="W30" s="81">
        <f t="shared" si="9"/>
        <v>6.6751424618533689E-4</v>
      </c>
      <c r="X30" s="46">
        <v>26</v>
      </c>
      <c r="Y30" s="83">
        <f t="shared" si="10"/>
        <v>21.948384848731195</v>
      </c>
      <c r="Z30" s="84">
        <f t="shared" si="11"/>
        <v>21.88245528943391</v>
      </c>
      <c r="AA30" s="83">
        <f t="shared" si="12"/>
        <v>22.987411319379831</v>
      </c>
      <c r="AB30" s="84">
        <f t="shared" si="13"/>
        <v>22.938646561061873</v>
      </c>
    </row>
    <row r="31" spans="1:28">
      <c r="A31" s="46">
        <v>27</v>
      </c>
      <c r="B31" s="47">
        <v>1.1613999999999999E-3</v>
      </c>
      <c r="C31" s="48">
        <v>1.532733E-2</v>
      </c>
      <c r="D31" s="49">
        <v>2.8852800000000001E-2</v>
      </c>
      <c r="E31" s="50">
        <v>0.8</v>
      </c>
      <c r="F31" s="49">
        <v>0.8</v>
      </c>
      <c r="G31" s="46">
        <v>27</v>
      </c>
      <c r="H31" s="47">
        <v>3.747E-4</v>
      </c>
      <c r="I31" s="48">
        <v>2.5310361600000001E-2</v>
      </c>
      <c r="J31" s="49">
        <v>3.21302688E-2</v>
      </c>
      <c r="K31" s="50">
        <v>0.8</v>
      </c>
      <c r="L31" s="49">
        <v>0.8</v>
      </c>
      <c r="M31" s="46">
        <v>27</v>
      </c>
      <c r="N31" s="75">
        <f t="shared" si="0"/>
        <v>9.2911999999999997E-4</v>
      </c>
      <c r="O31" s="76">
        <f t="shared" si="1"/>
        <v>9.2911999999999997E-4</v>
      </c>
      <c r="P31" s="76">
        <f t="shared" si="2"/>
        <v>2.9976000000000004E-4</v>
      </c>
      <c r="Q31" s="77">
        <f t="shared" si="3"/>
        <v>2.9976000000000004E-4</v>
      </c>
      <c r="R31" s="78">
        <f t="shared" si="4"/>
        <v>1962</v>
      </c>
      <c r="S31" s="79">
        <f t="shared" si="5"/>
        <v>0.51724137931034486</v>
      </c>
      <c r="T31" s="80">
        <f t="shared" si="6"/>
        <v>1.7751008578580771E-3</v>
      </c>
      <c r="U31" s="81">
        <f t="shared" si="7"/>
        <v>1.7751008578580771E-3</v>
      </c>
      <c r="V31" s="82">
        <f t="shared" si="8"/>
        <v>6.9178917506281174E-4</v>
      </c>
      <c r="W31" s="81">
        <f t="shared" si="9"/>
        <v>6.9178917506281174E-4</v>
      </c>
      <c r="X31" s="46">
        <v>27</v>
      </c>
      <c r="Y31" s="83">
        <f t="shared" si="10"/>
        <v>21.825741306182792</v>
      </c>
      <c r="Z31" s="84">
        <f t="shared" si="11"/>
        <v>21.757050497032402</v>
      </c>
      <c r="AA31" s="83">
        <f t="shared" si="12"/>
        <v>22.882181954593523</v>
      </c>
      <c r="AB31" s="84">
        <f t="shared" si="13"/>
        <v>22.831432730112525</v>
      </c>
    </row>
    <row r="32" spans="1:28">
      <c r="A32" s="46">
        <v>28</v>
      </c>
      <c r="B32" s="47">
        <v>1.1766000000000001E-3</v>
      </c>
      <c r="C32" s="48">
        <v>1.521642E-2</v>
      </c>
      <c r="D32" s="49">
        <v>2.8689249999999999E-2</v>
      </c>
      <c r="E32" s="50">
        <v>0.8</v>
      </c>
      <c r="F32" s="49">
        <v>0.8</v>
      </c>
      <c r="G32" s="46">
        <v>28</v>
      </c>
      <c r="H32" s="47">
        <v>4.0769999999999999E-4</v>
      </c>
      <c r="I32" s="48">
        <v>2.5089792E-2</v>
      </c>
      <c r="J32" s="49">
        <v>3.18917664E-2</v>
      </c>
      <c r="K32" s="50">
        <v>0.8</v>
      </c>
      <c r="L32" s="49">
        <v>0.8</v>
      </c>
      <c r="M32" s="46">
        <v>28</v>
      </c>
      <c r="N32" s="75">
        <f t="shared" si="0"/>
        <v>9.4128000000000007E-4</v>
      </c>
      <c r="O32" s="76">
        <f t="shared" si="1"/>
        <v>9.4128000000000007E-4</v>
      </c>
      <c r="P32" s="76">
        <f t="shared" si="2"/>
        <v>3.2616000000000003E-4</v>
      </c>
      <c r="Q32" s="77">
        <f t="shared" si="3"/>
        <v>3.2616000000000003E-4</v>
      </c>
      <c r="R32" s="78">
        <f t="shared" si="4"/>
        <v>1963</v>
      </c>
      <c r="S32" s="79">
        <f t="shared" si="5"/>
        <v>0.5357142857142857</v>
      </c>
      <c r="T32" s="80">
        <f t="shared" si="6"/>
        <v>1.7640945962414758E-3</v>
      </c>
      <c r="U32" s="81">
        <f t="shared" si="7"/>
        <v>1.7640945962414758E-3</v>
      </c>
      <c r="V32" s="82">
        <f t="shared" si="8"/>
        <v>7.291881926751667E-4</v>
      </c>
      <c r="W32" s="81">
        <f t="shared" si="9"/>
        <v>7.291881926751667E-4</v>
      </c>
      <c r="X32" s="46">
        <v>28</v>
      </c>
      <c r="Y32" s="83">
        <f t="shared" si="10"/>
        <v>21.697285829118563</v>
      </c>
      <c r="Z32" s="84">
        <f t="shared" si="11"/>
        <v>21.625720351661734</v>
      </c>
      <c r="AA32" s="83">
        <f t="shared" si="12"/>
        <v>22.773223502277428</v>
      </c>
      <c r="AB32" s="84">
        <f t="shared" si="13"/>
        <v>22.720407771466341</v>
      </c>
    </row>
    <row r="33" spans="1:28">
      <c r="A33" s="46">
        <v>29</v>
      </c>
      <c r="B33" s="47">
        <v>1.2047E-3</v>
      </c>
      <c r="C33" s="48">
        <v>1.5102000000000001E-2</v>
      </c>
      <c r="D33" s="49">
        <v>2.8527540000000001E-2</v>
      </c>
      <c r="E33" s="50">
        <v>0.8</v>
      </c>
      <c r="F33" s="49">
        <v>0.8</v>
      </c>
      <c r="G33" s="46">
        <v>29</v>
      </c>
      <c r="H33" s="47">
        <v>4.4129999999999999E-4</v>
      </c>
      <c r="I33" s="48">
        <v>2.48674368E-2</v>
      </c>
      <c r="J33" s="49">
        <v>3.1654271999999997E-2</v>
      </c>
      <c r="K33" s="50">
        <v>0.8</v>
      </c>
      <c r="L33" s="49">
        <v>0.8</v>
      </c>
      <c r="M33" s="46">
        <v>29</v>
      </c>
      <c r="N33" s="75">
        <f t="shared" si="0"/>
        <v>9.6376000000000003E-4</v>
      </c>
      <c r="O33" s="76">
        <f t="shared" si="1"/>
        <v>9.6376000000000003E-4</v>
      </c>
      <c r="P33" s="76">
        <f t="shared" si="2"/>
        <v>3.5303999999999999E-4</v>
      </c>
      <c r="Q33" s="77">
        <f t="shared" si="3"/>
        <v>3.5303999999999999E-4</v>
      </c>
      <c r="R33" s="78">
        <f t="shared" si="4"/>
        <v>1964</v>
      </c>
      <c r="S33" s="79">
        <f t="shared" si="5"/>
        <v>0.55555555555555558</v>
      </c>
      <c r="T33" s="80">
        <f t="shared" si="6"/>
        <v>1.7722042698470532E-3</v>
      </c>
      <c r="U33" s="81">
        <f t="shared" si="7"/>
        <v>1.7722042698470532E-3</v>
      </c>
      <c r="V33" s="82">
        <f t="shared" si="8"/>
        <v>7.649455742782319E-4</v>
      </c>
      <c r="W33" s="81">
        <f t="shared" si="9"/>
        <v>7.649455742782319E-4</v>
      </c>
      <c r="X33" s="46">
        <v>29</v>
      </c>
      <c r="Y33" s="83">
        <f t="shared" si="10"/>
        <v>21.563216816546962</v>
      </c>
      <c r="Z33" s="84">
        <f t="shared" si="11"/>
        <v>21.488657189757141</v>
      </c>
      <c r="AA33" s="83">
        <f t="shared" si="12"/>
        <v>22.660676339993685</v>
      </c>
      <c r="AB33" s="84">
        <f t="shared" si="13"/>
        <v>22.605707897611001</v>
      </c>
    </row>
    <row r="34" spans="1:28">
      <c r="A34" s="46">
        <v>30</v>
      </c>
      <c r="B34" s="47">
        <v>1.2463999999999999E-3</v>
      </c>
      <c r="C34" s="48">
        <v>1.498413E-2</v>
      </c>
      <c r="D34" s="49">
        <v>2.8367429999999999E-2</v>
      </c>
      <c r="E34" s="50">
        <v>0.8</v>
      </c>
      <c r="F34" s="49">
        <v>0.8</v>
      </c>
      <c r="G34" s="46">
        <v>30</v>
      </c>
      <c r="H34" s="47">
        <v>4.7189999999999998E-4</v>
      </c>
      <c r="I34" s="48">
        <v>2.4643305599999998E-2</v>
      </c>
      <c r="J34" s="49">
        <v>3.14176704E-2</v>
      </c>
      <c r="K34" s="50">
        <v>0.8</v>
      </c>
      <c r="L34" s="49">
        <v>0.8</v>
      </c>
      <c r="M34" s="46">
        <v>30</v>
      </c>
      <c r="N34" s="75">
        <f t="shared" si="0"/>
        <v>9.9711999999999999E-4</v>
      </c>
      <c r="O34" s="76">
        <f t="shared" si="1"/>
        <v>9.9711999999999999E-4</v>
      </c>
      <c r="P34" s="76">
        <f t="shared" si="2"/>
        <v>3.7752E-4</v>
      </c>
      <c r="Q34" s="77">
        <f t="shared" si="3"/>
        <v>3.7752E-4</v>
      </c>
      <c r="R34" s="78">
        <f t="shared" si="4"/>
        <v>1965</v>
      </c>
      <c r="S34" s="79">
        <f t="shared" si="5"/>
        <v>0.57692307692307687</v>
      </c>
      <c r="T34" s="80">
        <f t="shared" si="6"/>
        <v>1.7993990082056418E-3</v>
      </c>
      <c r="U34" s="81">
        <f t="shared" si="7"/>
        <v>1.7993990082056418E-3</v>
      </c>
      <c r="V34" s="82">
        <f t="shared" si="8"/>
        <v>7.9311241046947623E-4</v>
      </c>
      <c r="W34" s="81">
        <f t="shared" si="9"/>
        <v>7.9311241046947623E-4</v>
      </c>
      <c r="X34" s="46">
        <v>30</v>
      </c>
      <c r="Y34" s="83">
        <f t="shared" si="10"/>
        <v>21.423712684303943</v>
      </c>
      <c r="Z34" s="84">
        <f t="shared" si="11"/>
        <v>21.346033008188837</v>
      </c>
      <c r="AA34" s="83">
        <f t="shared" si="12"/>
        <v>22.544348593274844</v>
      </c>
      <c r="AB34" s="84">
        <f t="shared" si="13"/>
        <v>22.487137649938948</v>
      </c>
    </row>
    <row r="35" spans="1:28">
      <c r="A35" s="46">
        <v>31</v>
      </c>
      <c r="B35" s="47">
        <v>1.3043E-3</v>
      </c>
      <c r="C35" s="48">
        <v>1.486287E-2</v>
      </c>
      <c r="D35" s="49">
        <v>2.8208690000000002E-2</v>
      </c>
      <c r="E35" s="50">
        <v>0.8</v>
      </c>
      <c r="F35" s="49">
        <v>0.8</v>
      </c>
      <c r="G35" s="46">
        <v>31</v>
      </c>
      <c r="H35" s="47">
        <v>5.0980000000000003E-4</v>
      </c>
      <c r="I35" s="48">
        <v>2.4417359999999999E-2</v>
      </c>
      <c r="J35" s="49">
        <v>3.1181856000000001E-2</v>
      </c>
      <c r="K35" s="50">
        <v>0.8</v>
      </c>
      <c r="L35" s="49">
        <v>0.8</v>
      </c>
      <c r="M35" s="46">
        <v>31</v>
      </c>
      <c r="N35" s="75">
        <f t="shared" si="0"/>
        <v>1.0434400000000001E-3</v>
      </c>
      <c r="O35" s="76">
        <f t="shared" si="1"/>
        <v>1.0434400000000001E-3</v>
      </c>
      <c r="P35" s="76">
        <f t="shared" si="2"/>
        <v>4.0784000000000003E-4</v>
      </c>
      <c r="Q35" s="77">
        <f t="shared" si="3"/>
        <v>4.0784000000000003E-4</v>
      </c>
      <c r="R35" s="78">
        <f t="shared" si="4"/>
        <v>1966</v>
      </c>
      <c r="S35" s="79">
        <f t="shared" si="5"/>
        <v>0.6</v>
      </c>
      <c r="T35" s="80">
        <f t="shared" si="6"/>
        <v>1.8483290173796189E-3</v>
      </c>
      <c r="U35" s="81">
        <f t="shared" si="7"/>
        <v>1.8483290173796189E-3</v>
      </c>
      <c r="V35" s="82">
        <f t="shared" si="8"/>
        <v>8.311218217052751E-4</v>
      </c>
      <c r="W35" s="81">
        <f t="shared" si="9"/>
        <v>8.311218217052751E-4</v>
      </c>
      <c r="X35" s="46">
        <v>31</v>
      </c>
      <c r="Y35" s="83">
        <f t="shared" si="10"/>
        <v>21.27895051412688</v>
      </c>
      <c r="Z35" s="84">
        <f t="shared" si="11"/>
        <v>21.19801802111952</v>
      </c>
      <c r="AA35" s="83">
        <f t="shared" si="12"/>
        <v>22.423907216110152</v>
      </c>
      <c r="AB35" s="84">
        <f t="shared" si="13"/>
        <v>22.364360607886837</v>
      </c>
    </row>
    <row r="36" spans="1:28">
      <c r="A36" s="46">
        <v>32</v>
      </c>
      <c r="B36" s="47">
        <v>1.3837000000000001E-3</v>
      </c>
      <c r="C36" s="48">
        <v>1.4738289999999999E-2</v>
      </c>
      <c r="D36" s="49">
        <v>2.8051090000000001E-2</v>
      </c>
      <c r="E36" s="50">
        <v>0.8</v>
      </c>
      <c r="F36" s="49">
        <v>0.8</v>
      </c>
      <c r="G36" s="46">
        <v>32</v>
      </c>
      <c r="H36" s="47">
        <v>5.5650000000000003E-4</v>
      </c>
      <c r="I36" s="48">
        <v>2.4189609599999998E-2</v>
      </c>
      <c r="J36" s="49">
        <v>3.0946703999999998E-2</v>
      </c>
      <c r="K36" s="50">
        <v>0.8</v>
      </c>
      <c r="L36" s="49">
        <v>0.8</v>
      </c>
      <c r="M36" s="46">
        <v>32</v>
      </c>
      <c r="N36" s="75">
        <f t="shared" ref="N36:N67" si="14">B36*F36</f>
        <v>1.1069600000000001E-3</v>
      </c>
      <c r="O36" s="76">
        <f t="shared" ref="O36:O67" si="15">B36*E36</f>
        <v>1.1069600000000001E-3</v>
      </c>
      <c r="P36" s="76">
        <f t="shared" ref="P36:P67" si="16">H36*L36</f>
        <v>4.4520000000000003E-4</v>
      </c>
      <c r="Q36" s="77">
        <f t="shared" ref="Q36:Q67" si="17">H36*K36</f>
        <v>4.4520000000000003E-4</v>
      </c>
      <c r="R36" s="78">
        <f t="shared" ref="R36:R67" si="18">$N$1+M36</f>
        <v>1967</v>
      </c>
      <c r="S36" s="79">
        <f t="shared" ref="S36:S67" si="19">IF(R36&lt;1971,15/(1991-R36),IF(R36&lt;1981,1+(R36-1981)^2/(20*(R36-1991)),IF(R36&lt;=2000,1,IF(R36&lt;2010,1-(R36-2000)^2/(20*(R36-1991)),14/(R36-1991)))))</f>
        <v>0.625</v>
      </c>
      <c r="T36" s="80">
        <f t="shared" ref="T36:T67" si="20">N36*EXP(-($C36+$S36*($D36-$C36))*($R36-1991))</f>
        <v>1.9251973450204536E-3</v>
      </c>
      <c r="U36" s="81">
        <f t="shared" ref="U36:U67" si="21">O36*EXP(-($C36+$S36*($D36-$C36))*($R36-1991))</f>
        <v>1.9251973450204536E-3</v>
      </c>
      <c r="V36" s="82">
        <f t="shared" ref="V36:V67" si="22">P36*EXP(-($I36+$S36*($J36-$I36))*($R36-1991))</f>
        <v>8.8044782123637385E-4</v>
      </c>
      <c r="W36" s="81">
        <f t="shared" ref="W36:W67" si="23">Q36*EXP(-($I36+$S36*($J36-$I36))*($R36-1991))</f>
        <v>8.8044782123637385E-4</v>
      </c>
      <c r="X36" s="46">
        <v>32</v>
      </c>
      <c r="Y36" s="83">
        <f t="shared" ref="Y36:Y67" si="24">1+(1-T36)*$Z$1*Y37</f>
        <v>21.129162178258955</v>
      </c>
      <c r="Z36" s="84">
        <f t="shared" ref="Z36:Z67" si="25">1+(1-U36)*$Z$1*Z37</f>
        <v>21.044836523977583</v>
      </c>
      <c r="AA36" s="83">
        <f t="shared" ref="AA36:AA67" si="26">1+(1-V36)*$Z$1*AA37</f>
        <v>22.299397020228941</v>
      </c>
      <c r="AB36" s="84">
        <f t="shared" ref="AB36:AB67" si="27">1+(1-W36)*$Z$1*AB37</f>
        <v>22.237417034758263</v>
      </c>
    </row>
    <row r="37" spans="1:28">
      <c r="A37" s="46">
        <v>33</v>
      </c>
      <c r="B37" s="47">
        <v>1.4691000000000001E-3</v>
      </c>
      <c r="C37" s="48">
        <v>1.4610440000000001E-2</v>
      </c>
      <c r="D37" s="49">
        <v>2.7894390000000002E-2</v>
      </c>
      <c r="E37" s="50">
        <v>0.8</v>
      </c>
      <c r="F37" s="49">
        <v>0.8</v>
      </c>
      <c r="G37" s="46">
        <v>33</v>
      </c>
      <c r="H37" s="47">
        <v>6.0559999999999998E-4</v>
      </c>
      <c r="I37" s="48">
        <v>2.39600352E-2</v>
      </c>
      <c r="J37" s="49">
        <v>3.0712128000000002E-2</v>
      </c>
      <c r="K37" s="50">
        <v>0.8</v>
      </c>
      <c r="L37" s="49">
        <v>0.8</v>
      </c>
      <c r="M37" s="46">
        <v>33</v>
      </c>
      <c r="N37" s="75">
        <f t="shared" si="14"/>
        <v>1.1752800000000001E-3</v>
      </c>
      <c r="O37" s="76">
        <f t="shared" si="15"/>
        <v>1.1752800000000001E-3</v>
      </c>
      <c r="P37" s="76">
        <f t="shared" si="16"/>
        <v>4.8448000000000002E-4</v>
      </c>
      <c r="Q37" s="77">
        <f t="shared" si="17"/>
        <v>4.8448000000000002E-4</v>
      </c>
      <c r="R37" s="78">
        <f t="shared" si="18"/>
        <v>1968</v>
      </c>
      <c r="S37" s="79">
        <f t="shared" si="19"/>
        <v>0.65217391304347827</v>
      </c>
      <c r="T37" s="80">
        <f t="shared" si="20"/>
        <v>2.0073306147807622E-3</v>
      </c>
      <c r="U37" s="81">
        <f t="shared" si="21"/>
        <v>2.0073306147807622E-3</v>
      </c>
      <c r="V37" s="82">
        <f t="shared" si="22"/>
        <v>9.3023603257069167E-4</v>
      </c>
      <c r="W37" s="81">
        <f t="shared" si="23"/>
        <v>9.3023603257069167E-4</v>
      </c>
      <c r="X37" s="46">
        <v>33</v>
      </c>
      <c r="Y37" s="83">
        <f t="shared" si="24"/>
        <v>20.974709119699138</v>
      </c>
      <c r="Z37" s="84">
        <f t="shared" si="25"/>
        <v>20.886841276307699</v>
      </c>
      <c r="AA37" s="83">
        <f t="shared" si="26"/>
        <v>22.170893215664698</v>
      </c>
      <c r="AB37" s="84">
        <f t="shared" si="27"/>
        <v>22.106377227814253</v>
      </c>
    </row>
    <row r="38" spans="1:28">
      <c r="A38" s="46">
        <v>34</v>
      </c>
      <c r="B38" s="47">
        <v>1.5485E-3</v>
      </c>
      <c r="C38" s="48">
        <v>1.447941E-2</v>
      </c>
      <c r="D38" s="49">
        <v>2.773836E-2</v>
      </c>
      <c r="E38" s="50">
        <v>0.8</v>
      </c>
      <c r="F38" s="49">
        <v>0.8</v>
      </c>
      <c r="G38" s="46">
        <v>34</v>
      </c>
      <c r="H38" s="47">
        <v>6.5499999999999998E-4</v>
      </c>
      <c r="I38" s="48">
        <v>2.3728627200000001E-2</v>
      </c>
      <c r="J38" s="49">
        <v>3.0477993599999999E-2</v>
      </c>
      <c r="K38" s="50">
        <v>0.8</v>
      </c>
      <c r="L38" s="49">
        <v>0.8</v>
      </c>
      <c r="M38" s="46">
        <v>34</v>
      </c>
      <c r="N38" s="75">
        <f t="shared" si="14"/>
        <v>1.2388E-3</v>
      </c>
      <c r="O38" s="76">
        <f t="shared" si="15"/>
        <v>1.2388E-3</v>
      </c>
      <c r="P38" s="76">
        <f t="shared" si="16"/>
        <v>5.2400000000000005E-4</v>
      </c>
      <c r="Q38" s="77">
        <f t="shared" si="17"/>
        <v>5.2400000000000005E-4</v>
      </c>
      <c r="R38" s="78">
        <f t="shared" si="18"/>
        <v>1969</v>
      </c>
      <c r="S38" s="79">
        <f t="shared" si="19"/>
        <v>0.68181818181818177</v>
      </c>
      <c r="T38" s="80">
        <f t="shared" si="20"/>
        <v>2.078350269019529E-3</v>
      </c>
      <c r="U38" s="81">
        <f t="shared" si="21"/>
        <v>2.078350269019529E-3</v>
      </c>
      <c r="V38" s="82">
        <f t="shared" si="22"/>
        <v>9.7726903119869316E-4</v>
      </c>
      <c r="W38" s="81">
        <f t="shared" si="23"/>
        <v>9.7726903119869316E-4</v>
      </c>
      <c r="X38" s="46">
        <v>34</v>
      </c>
      <c r="Y38" s="83">
        <f t="shared" si="24"/>
        <v>20.815481036833731</v>
      </c>
      <c r="Z38" s="84">
        <f t="shared" si="25"/>
        <v>20.723914675746741</v>
      </c>
      <c r="AA38" s="83">
        <f t="shared" si="26"/>
        <v>22.038229699651971</v>
      </c>
      <c r="AB38" s="84">
        <f t="shared" si="27"/>
        <v>21.971070598471677</v>
      </c>
    </row>
    <row r="39" spans="1:28">
      <c r="A39" s="46">
        <v>35</v>
      </c>
      <c r="B39" s="47">
        <v>1.6245999999999999E-3</v>
      </c>
      <c r="C39" s="48">
        <v>1.434524E-2</v>
      </c>
      <c r="D39" s="49">
        <v>2.758277E-2</v>
      </c>
      <c r="E39" s="50">
        <v>0.8</v>
      </c>
      <c r="F39" s="49">
        <v>0.8</v>
      </c>
      <c r="G39" s="46">
        <v>35</v>
      </c>
      <c r="H39" s="47">
        <v>7.1270000000000003E-4</v>
      </c>
      <c r="I39" s="48">
        <v>2.3495375999999998E-2</v>
      </c>
      <c r="J39" s="49">
        <v>3.02442144E-2</v>
      </c>
      <c r="K39" s="50">
        <v>0.8</v>
      </c>
      <c r="L39" s="49">
        <v>0.8</v>
      </c>
      <c r="M39" s="46">
        <v>35</v>
      </c>
      <c r="N39" s="75">
        <f t="shared" si="14"/>
        <v>1.2996800000000001E-3</v>
      </c>
      <c r="O39" s="76">
        <f t="shared" si="15"/>
        <v>1.2996800000000001E-3</v>
      </c>
      <c r="P39" s="76">
        <f t="shared" si="16"/>
        <v>5.7016E-4</v>
      </c>
      <c r="Q39" s="77">
        <f t="shared" si="17"/>
        <v>5.7016E-4</v>
      </c>
      <c r="R39" s="78">
        <f t="shared" si="18"/>
        <v>1970</v>
      </c>
      <c r="S39" s="79">
        <f t="shared" si="19"/>
        <v>0.7142857142857143</v>
      </c>
      <c r="T39" s="80">
        <f t="shared" si="20"/>
        <v>2.1424093716616499E-3</v>
      </c>
      <c r="U39" s="81">
        <f t="shared" si="21"/>
        <v>2.1424093716616499E-3</v>
      </c>
      <c r="V39" s="82">
        <f t="shared" si="22"/>
        <v>1.0333409731963458E-3</v>
      </c>
      <c r="W39" s="81">
        <f t="shared" si="23"/>
        <v>1.0333409731963458E-3</v>
      </c>
      <c r="X39" s="46">
        <v>35</v>
      </c>
      <c r="Y39" s="83">
        <f t="shared" si="24"/>
        <v>20.651020331969558</v>
      </c>
      <c r="Z39" s="84">
        <f t="shared" si="25"/>
        <v>20.555592984986816</v>
      </c>
      <c r="AA39" s="83">
        <f t="shared" si="26"/>
        <v>21.901162215218243</v>
      </c>
      <c r="AB39" s="84">
        <f t="shared" si="27"/>
        <v>21.831248425409104</v>
      </c>
    </row>
    <row r="40" spans="1:28">
      <c r="A40" s="46">
        <v>36</v>
      </c>
      <c r="B40" s="47">
        <v>1.7037E-3</v>
      </c>
      <c r="C40" s="48">
        <v>1.4208E-2</v>
      </c>
      <c r="D40" s="49">
        <v>2.7427380000000001E-2</v>
      </c>
      <c r="E40" s="50">
        <v>0.8</v>
      </c>
      <c r="F40" s="49">
        <v>0.8</v>
      </c>
      <c r="G40" s="46">
        <v>36</v>
      </c>
      <c r="H40" s="47">
        <v>7.8790000000000002E-4</v>
      </c>
      <c r="I40" s="48">
        <v>2.3260271999999999E-2</v>
      </c>
      <c r="J40" s="49">
        <v>3.00106656E-2</v>
      </c>
      <c r="K40" s="50">
        <v>0.8</v>
      </c>
      <c r="L40" s="49">
        <v>0.8</v>
      </c>
      <c r="M40" s="46">
        <v>36</v>
      </c>
      <c r="N40" s="75">
        <f t="shared" si="14"/>
        <v>1.3629600000000001E-3</v>
      </c>
      <c r="O40" s="76">
        <f t="shared" si="15"/>
        <v>1.3629600000000001E-3</v>
      </c>
      <c r="P40" s="76">
        <f t="shared" si="16"/>
        <v>6.3032000000000008E-4</v>
      </c>
      <c r="Q40" s="77">
        <f t="shared" si="17"/>
        <v>6.3032000000000008E-4</v>
      </c>
      <c r="R40" s="78">
        <f t="shared" si="18"/>
        <v>1971</v>
      </c>
      <c r="S40" s="79">
        <f t="shared" si="19"/>
        <v>0.75</v>
      </c>
      <c r="T40" s="80">
        <f t="shared" si="20"/>
        <v>2.2080494086161866E-3</v>
      </c>
      <c r="U40" s="81">
        <f t="shared" si="21"/>
        <v>2.2080494086161866E-3</v>
      </c>
      <c r="V40" s="82">
        <f t="shared" si="22"/>
        <v>1.1106369637486084E-3</v>
      </c>
      <c r="W40" s="81">
        <f t="shared" si="23"/>
        <v>1.1106369637486084E-3</v>
      </c>
      <c r="X40" s="46">
        <v>36</v>
      </c>
      <c r="Y40" s="83">
        <f t="shared" si="24"/>
        <v>20.480939702407216</v>
      </c>
      <c r="Z40" s="84">
        <f t="shared" si="25"/>
        <v>20.381482182823127</v>
      </c>
      <c r="AA40" s="83">
        <f t="shared" si="26"/>
        <v>21.759693887084708</v>
      </c>
      <c r="AB40" s="84">
        <f t="shared" si="27"/>
        <v>21.68690833338831</v>
      </c>
    </row>
    <row r="41" spans="1:28">
      <c r="A41" s="46">
        <v>37</v>
      </c>
      <c r="B41" s="47">
        <v>1.7987000000000001E-3</v>
      </c>
      <c r="C41" s="48">
        <v>1.406776E-2</v>
      </c>
      <c r="D41" s="49">
        <v>2.727197E-2</v>
      </c>
      <c r="E41" s="50">
        <v>0.8</v>
      </c>
      <c r="F41" s="49">
        <v>0.8</v>
      </c>
      <c r="G41" s="46">
        <v>37</v>
      </c>
      <c r="H41" s="47">
        <v>8.7609999999999999E-4</v>
      </c>
      <c r="I41" s="48">
        <v>2.3023305599999998E-2</v>
      </c>
      <c r="J41" s="49">
        <v>2.9777232000000001E-2</v>
      </c>
      <c r="K41" s="50">
        <v>0.8</v>
      </c>
      <c r="L41" s="49">
        <v>0.8</v>
      </c>
      <c r="M41" s="46">
        <v>37</v>
      </c>
      <c r="N41" s="75">
        <f t="shared" si="14"/>
        <v>1.4389600000000002E-3</v>
      </c>
      <c r="O41" s="76">
        <f t="shared" si="15"/>
        <v>1.4389600000000002E-3</v>
      </c>
      <c r="P41" s="76">
        <f t="shared" si="16"/>
        <v>7.0088000000000008E-4</v>
      </c>
      <c r="Q41" s="77">
        <f t="shared" si="17"/>
        <v>7.0088000000000008E-4</v>
      </c>
      <c r="R41" s="78">
        <f t="shared" si="18"/>
        <v>1972</v>
      </c>
      <c r="S41" s="79">
        <f t="shared" si="19"/>
        <v>0.7868421052631579</v>
      </c>
      <c r="T41" s="80">
        <f t="shared" si="20"/>
        <v>2.2901355545424328E-3</v>
      </c>
      <c r="U41" s="81">
        <f t="shared" si="21"/>
        <v>2.2901355545424328E-3</v>
      </c>
      <c r="V41" s="82">
        <f t="shared" si="22"/>
        <v>1.2008089029069261E-3</v>
      </c>
      <c r="W41" s="81">
        <f t="shared" si="23"/>
        <v>1.2008089029069261E-3</v>
      </c>
      <c r="X41" s="46">
        <v>37</v>
      </c>
      <c r="Y41" s="83">
        <f t="shared" si="24"/>
        <v>20.305011759711483</v>
      </c>
      <c r="Z41" s="84">
        <f t="shared" si="25"/>
        <v>20.201347042526557</v>
      </c>
      <c r="AA41" s="83">
        <f t="shared" si="26"/>
        <v>21.614087046579712</v>
      </c>
      <c r="AB41" s="84">
        <f t="shared" si="27"/>
        <v>21.538305905398904</v>
      </c>
    </row>
    <row r="42" spans="1:28">
      <c r="A42" s="46">
        <v>38</v>
      </c>
      <c r="B42" s="47">
        <v>1.941E-3</v>
      </c>
      <c r="C42" s="48">
        <v>1.3924570000000001E-2</v>
      </c>
      <c r="D42" s="49">
        <v>2.7116299999999999E-2</v>
      </c>
      <c r="E42" s="50">
        <v>0.8</v>
      </c>
      <c r="F42" s="49">
        <v>0.8</v>
      </c>
      <c r="G42" s="46">
        <v>38</v>
      </c>
      <c r="H42" s="47">
        <v>9.7479999999999995E-4</v>
      </c>
      <c r="I42" s="48">
        <v>2.2784457599999999E-2</v>
      </c>
      <c r="J42" s="49">
        <v>2.9543827200000001E-2</v>
      </c>
      <c r="K42" s="50">
        <v>0.8</v>
      </c>
      <c r="L42" s="49">
        <v>0.8</v>
      </c>
      <c r="M42" s="46">
        <v>38</v>
      </c>
      <c r="N42" s="75">
        <f t="shared" si="14"/>
        <v>1.5528E-3</v>
      </c>
      <c r="O42" s="76">
        <f t="shared" si="15"/>
        <v>1.5528E-3</v>
      </c>
      <c r="P42" s="76">
        <f t="shared" si="16"/>
        <v>7.7983999999999996E-4</v>
      </c>
      <c r="Q42" s="77">
        <f t="shared" si="17"/>
        <v>7.7983999999999996E-4</v>
      </c>
      <c r="R42" s="78">
        <f t="shared" si="18"/>
        <v>1973</v>
      </c>
      <c r="S42" s="79">
        <f t="shared" si="19"/>
        <v>0.82222222222222219</v>
      </c>
      <c r="T42" s="80">
        <f t="shared" si="20"/>
        <v>2.4252621384391435E-3</v>
      </c>
      <c r="U42" s="81">
        <f t="shared" si="21"/>
        <v>2.4252621384391435E-3</v>
      </c>
      <c r="V42" s="82">
        <f t="shared" si="22"/>
        <v>1.2988670679816726E-3</v>
      </c>
      <c r="W42" s="81">
        <f t="shared" si="23"/>
        <v>1.2988670679816726E-3</v>
      </c>
      <c r="X42" s="46">
        <v>38</v>
      </c>
      <c r="Y42" s="83">
        <f t="shared" si="24"/>
        <v>20.123297308741321</v>
      </c>
      <c r="Z42" s="84">
        <f t="shared" si="25"/>
        <v>20.015238533626125</v>
      </c>
      <c r="AA42" s="83">
        <f t="shared" si="26"/>
        <v>21.464425201320431</v>
      </c>
      <c r="AB42" s="84">
        <f t="shared" si="27"/>
        <v>21.385518062097105</v>
      </c>
    </row>
    <row r="43" spans="1:28">
      <c r="A43" s="46">
        <v>39</v>
      </c>
      <c r="B43" s="47">
        <v>2.1488000000000002E-3</v>
      </c>
      <c r="C43" s="48">
        <v>1.3778510000000001E-2</v>
      </c>
      <c r="D43" s="49">
        <v>2.696014E-2</v>
      </c>
      <c r="E43" s="50">
        <v>0.8</v>
      </c>
      <c r="F43" s="49">
        <v>0.8</v>
      </c>
      <c r="G43" s="46">
        <v>39</v>
      </c>
      <c r="H43" s="47">
        <v>1.0854E-3</v>
      </c>
      <c r="I43" s="48">
        <v>2.2543737599999999E-2</v>
      </c>
      <c r="J43" s="49">
        <v>2.93103168E-2</v>
      </c>
      <c r="K43" s="50">
        <v>0.8</v>
      </c>
      <c r="L43" s="49">
        <v>0.8</v>
      </c>
      <c r="M43" s="46">
        <v>39</v>
      </c>
      <c r="N43" s="75">
        <f t="shared" si="14"/>
        <v>1.7190400000000002E-3</v>
      </c>
      <c r="O43" s="76">
        <f t="shared" si="15"/>
        <v>1.7190400000000002E-3</v>
      </c>
      <c r="P43" s="76">
        <f t="shared" si="16"/>
        <v>8.6832000000000012E-4</v>
      </c>
      <c r="Q43" s="77">
        <f t="shared" si="17"/>
        <v>8.6832000000000012E-4</v>
      </c>
      <c r="R43" s="78">
        <f t="shared" si="18"/>
        <v>1974</v>
      </c>
      <c r="S43" s="79">
        <f t="shared" si="19"/>
        <v>0.85588235294117654</v>
      </c>
      <c r="T43" s="80">
        <f t="shared" si="20"/>
        <v>2.632129941124624E-3</v>
      </c>
      <c r="U43" s="81">
        <f t="shared" si="21"/>
        <v>2.632129941124624E-3</v>
      </c>
      <c r="V43" s="82">
        <f t="shared" si="22"/>
        <v>1.4056534700440965E-3</v>
      </c>
      <c r="W43" s="81">
        <f t="shared" si="23"/>
        <v>1.4056534700440965E-3</v>
      </c>
      <c r="X43" s="46">
        <v>39</v>
      </c>
      <c r="Y43" s="83">
        <f t="shared" si="24"/>
        <v>19.93658063527565</v>
      </c>
      <c r="Z43" s="84">
        <f t="shared" si="25"/>
        <v>19.823926292844416</v>
      </c>
      <c r="AA43" s="83">
        <f t="shared" si="26"/>
        <v>21.310681952357399</v>
      </c>
      <c r="AB43" s="84">
        <f t="shared" si="27"/>
        <v>21.228511799459568</v>
      </c>
    </row>
    <row r="44" spans="1:28">
      <c r="A44" s="46">
        <v>40</v>
      </c>
      <c r="B44" s="47">
        <v>2.4128999999999999E-3</v>
      </c>
      <c r="C44" s="48">
        <v>1.362963E-2</v>
      </c>
      <c r="D44" s="49">
        <v>2.6803250000000001E-2</v>
      </c>
      <c r="E44" s="50">
        <v>0.8</v>
      </c>
      <c r="F44" s="49">
        <v>0.8</v>
      </c>
      <c r="G44" s="46">
        <v>40</v>
      </c>
      <c r="H44" s="47">
        <v>1.2084000000000001E-3</v>
      </c>
      <c r="I44" s="48">
        <v>2.23011168E-2</v>
      </c>
      <c r="J44" s="49">
        <v>2.9076604799999999E-2</v>
      </c>
      <c r="K44" s="50">
        <v>0.8</v>
      </c>
      <c r="L44" s="49">
        <v>0.8</v>
      </c>
      <c r="M44" s="46">
        <v>40</v>
      </c>
      <c r="N44" s="75">
        <f t="shared" si="14"/>
        <v>1.9303200000000001E-3</v>
      </c>
      <c r="O44" s="76">
        <f t="shared" si="15"/>
        <v>1.9303200000000001E-3</v>
      </c>
      <c r="P44" s="76">
        <f t="shared" si="16"/>
        <v>9.6672000000000012E-4</v>
      </c>
      <c r="Q44" s="77">
        <f t="shared" si="17"/>
        <v>9.6672000000000012E-4</v>
      </c>
      <c r="R44" s="78">
        <f t="shared" si="18"/>
        <v>1975</v>
      </c>
      <c r="S44" s="79">
        <f t="shared" si="19"/>
        <v>0.88749999999999996</v>
      </c>
      <c r="T44" s="80">
        <f t="shared" si="20"/>
        <v>2.8945373153960387E-3</v>
      </c>
      <c r="U44" s="81">
        <f t="shared" si="21"/>
        <v>2.8945373153960387E-3</v>
      </c>
      <c r="V44" s="82">
        <f t="shared" si="22"/>
        <v>1.5207192559125084E-3</v>
      </c>
      <c r="W44" s="81">
        <f t="shared" si="23"/>
        <v>1.5207192559125084E-3</v>
      </c>
      <c r="X44" s="46">
        <v>40</v>
      </c>
      <c r="Y44" s="83">
        <f t="shared" si="24"/>
        <v>19.746017945739645</v>
      </c>
      <c r="Z44" s="84">
        <f t="shared" si="25"/>
        <v>19.628548234065889</v>
      </c>
      <c r="AA44" s="83">
        <f t="shared" si="26"/>
        <v>21.152842797331061</v>
      </c>
      <c r="AB44" s="84">
        <f t="shared" si="27"/>
        <v>21.067265546357529</v>
      </c>
    </row>
    <row r="45" spans="1:28">
      <c r="A45" s="46">
        <v>41</v>
      </c>
      <c r="B45" s="47">
        <v>2.7101999999999998E-3</v>
      </c>
      <c r="C45" s="48">
        <v>1.3478E-2</v>
      </c>
      <c r="D45" s="49">
        <v>2.66454E-2</v>
      </c>
      <c r="E45" s="50">
        <v>0.8</v>
      </c>
      <c r="F45" s="49">
        <v>0.8</v>
      </c>
      <c r="G45" s="46">
        <v>41</v>
      </c>
      <c r="H45" s="47">
        <v>1.3512999999999999E-3</v>
      </c>
      <c r="I45" s="48">
        <v>2.2056585600000001E-2</v>
      </c>
      <c r="J45" s="49">
        <v>2.8842576000000002E-2</v>
      </c>
      <c r="K45" s="50">
        <v>0.8</v>
      </c>
      <c r="L45" s="49">
        <v>0.8</v>
      </c>
      <c r="M45" s="46">
        <v>41</v>
      </c>
      <c r="N45" s="75">
        <f t="shared" si="14"/>
        <v>2.1681600000000001E-3</v>
      </c>
      <c r="O45" s="76">
        <f t="shared" si="15"/>
        <v>2.1681600000000001E-3</v>
      </c>
      <c r="P45" s="76">
        <f t="shared" si="16"/>
        <v>1.0810399999999999E-3</v>
      </c>
      <c r="Q45" s="77">
        <f t="shared" si="17"/>
        <v>1.0810399999999999E-3</v>
      </c>
      <c r="R45" s="78">
        <f t="shared" si="18"/>
        <v>1976</v>
      </c>
      <c r="S45" s="79">
        <f t="shared" si="19"/>
        <v>0.91666666666666663</v>
      </c>
      <c r="T45" s="80">
        <f t="shared" si="20"/>
        <v>3.1806978792312708E-3</v>
      </c>
      <c r="U45" s="81">
        <f t="shared" si="21"/>
        <v>3.1806978792312708E-3</v>
      </c>
      <c r="V45" s="82">
        <f t="shared" si="22"/>
        <v>1.6521536723030019E-3</v>
      </c>
      <c r="W45" s="81">
        <f t="shared" si="23"/>
        <v>1.6521536723030019E-3</v>
      </c>
      <c r="X45" s="46">
        <v>41</v>
      </c>
      <c r="Y45" s="83">
        <f t="shared" si="24"/>
        <v>19.552453971196424</v>
      </c>
      <c r="Z45" s="84">
        <f t="shared" si="25"/>
        <v>19.429930823231935</v>
      </c>
      <c r="AA45" s="83">
        <f t="shared" si="26"/>
        <v>20.99087774120386</v>
      </c>
      <c r="AB45" s="84">
        <f t="shared" si="27"/>
        <v>20.901741849524516</v>
      </c>
    </row>
    <row r="46" spans="1:28">
      <c r="A46" s="46">
        <v>42</v>
      </c>
      <c r="B46" s="47">
        <v>3.0179999999999998E-3</v>
      </c>
      <c r="C46" s="48">
        <v>1.3323679999999999E-2</v>
      </c>
      <c r="D46" s="49">
        <v>2.648636E-2</v>
      </c>
      <c r="E46" s="50">
        <v>0.8</v>
      </c>
      <c r="F46" s="49">
        <v>0.8</v>
      </c>
      <c r="G46" s="46">
        <v>42</v>
      </c>
      <c r="H46" s="47">
        <v>1.5135999999999999E-3</v>
      </c>
      <c r="I46" s="48">
        <v>2.1810144E-2</v>
      </c>
      <c r="J46" s="49">
        <v>2.8608134399999999E-2</v>
      </c>
      <c r="K46" s="50">
        <v>0.8</v>
      </c>
      <c r="L46" s="49">
        <v>0.8</v>
      </c>
      <c r="M46" s="46">
        <v>42</v>
      </c>
      <c r="N46" s="75">
        <f t="shared" si="14"/>
        <v>2.4144000000000001E-3</v>
      </c>
      <c r="O46" s="76">
        <f t="shared" si="15"/>
        <v>2.4144000000000001E-3</v>
      </c>
      <c r="P46" s="76">
        <f t="shared" si="16"/>
        <v>1.2108800000000001E-3</v>
      </c>
      <c r="Q46" s="77">
        <f t="shared" si="17"/>
        <v>1.2108800000000001E-3</v>
      </c>
      <c r="R46" s="78">
        <f t="shared" si="18"/>
        <v>1977</v>
      </c>
      <c r="S46" s="79">
        <f t="shared" si="19"/>
        <v>0.94285714285714284</v>
      </c>
      <c r="T46" s="80">
        <f t="shared" si="20"/>
        <v>3.4615958291307441E-3</v>
      </c>
      <c r="U46" s="81">
        <f t="shared" si="21"/>
        <v>3.4615958291307441E-3</v>
      </c>
      <c r="V46" s="82">
        <f t="shared" si="22"/>
        <v>1.7975468194958372E-3</v>
      </c>
      <c r="W46" s="81">
        <f t="shared" si="23"/>
        <v>1.7975468194958372E-3</v>
      </c>
      <c r="X46" s="46">
        <v>42</v>
      </c>
      <c r="Y46" s="83">
        <f t="shared" si="24"/>
        <v>19.356118093815432</v>
      </c>
      <c r="Z46" s="84">
        <f t="shared" si="25"/>
        <v>19.228287429208546</v>
      </c>
      <c r="AA46" s="83">
        <f t="shared" si="26"/>
        <v>20.824918816950856</v>
      </c>
      <c r="AB46" s="84">
        <f t="shared" si="27"/>
        <v>20.73206407930855</v>
      </c>
    </row>
    <row r="47" spans="1:28">
      <c r="A47" s="46">
        <v>43</v>
      </c>
      <c r="B47" s="47">
        <v>3.3313000000000001E-3</v>
      </c>
      <c r="C47" s="48">
        <v>1.316674E-2</v>
      </c>
      <c r="D47" s="49">
        <v>2.6325899999999999E-2</v>
      </c>
      <c r="E47" s="50">
        <v>0.8</v>
      </c>
      <c r="F47" s="49">
        <v>0.8</v>
      </c>
      <c r="G47" s="46">
        <v>43</v>
      </c>
      <c r="H47" s="47">
        <v>1.6826E-3</v>
      </c>
      <c r="I47" s="48">
        <v>2.15617824E-2</v>
      </c>
      <c r="J47" s="49">
        <v>2.83731456E-2</v>
      </c>
      <c r="K47" s="50">
        <v>0.8</v>
      </c>
      <c r="L47" s="49">
        <v>0.8</v>
      </c>
      <c r="M47" s="46">
        <v>43</v>
      </c>
      <c r="N47" s="75">
        <f t="shared" si="14"/>
        <v>2.6650400000000005E-3</v>
      </c>
      <c r="O47" s="76">
        <f t="shared" si="15"/>
        <v>2.6650400000000005E-3</v>
      </c>
      <c r="P47" s="76">
        <f t="shared" si="16"/>
        <v>1.3460800000000001E-3</v>
      </c>
      <c r="Q47" s="77">
        <f t="shared" si="17"/>
        <v>1.3460800000000001E-3</v>
      </c>
      <c r="R47" s="78">
        <f t="shared" si="18"/>
        <v>1978</v>
      </c>
      <c r="S47" s="79">
        <f t="shared" si="19"/>
        <v>0.9653846153846154</v>
      </c>
      <c r="T47" s="80">
        <f t="shared" si="20"/>
        <v>3.7304696784573217E-3</v>
      </c>
      <c r="U47" s="81">
        <f t="shared" si="21"/>
        <v>3.7304696784573217E-3</v>
      </c>
      <c r="V47" s="82">
        <f t="shared" si="22"/>
        <v>1.9405713580640434E-3</v>
      </c>
      <c r="W47" s="81">
        <f t="shared" si="23"/>
        <v>1.9405713580640434E-3</v>
      </c>
      <c r="X47" s="46">
        <v>43</v>
      </c>
      <c r="Y47" s="83">
        <f t="shared" si="24"/>
        <v>19.156675485528769</v>
      </c>
      <c r="Z47" s="84">
        <f t="shared" si="25"/>
        <v>19.023269797765263</v>
      </c>
      <c r="AA47" s="83">
        <f t="shared" si="26"/>
        <v>20.65504397823852</v>
      </c>
      <c r="AB47" s="84">
        <f t="shared" si="27"/>
        <v>20.558301151329704</v>
      </c>
    </row>
    <row r="48" spans="1:28">
      <c r="A48" s="46">
        <v>44</v>
      </c>
      <c r="B48" s="47">
        <v>3.6546999999999999E-3</v>
      </c>
      <c r="C48" s="48">
        <v>1.300724E-2</v>
      </c>
      <c r="D48" s="49">
        <v>2.6163780000000001E-2</v>
      </c>
      <c r="E48" s="50">
        <v>0.8</v>
      </c>
      <c r="F48" s="49">
        <v>0.8</v>
      </c>
      <c r="G48" s="46">
        <v>44</v>
      </c>
      <c r="H48" s="47">
        <v>1.8488999999999999E-3</v>
      </c>
      <c r="I48" s="48">
        <v>2.1311472000000001E-2</v>
      </c>
      <c r="J48" s="49">
        <v>2.81375232E-2</v>
      </c>
      <c r="K48" s="50">
        <v>0.8</v>
      </c>
      <c r="L48" s="49">
        <v>0.8</v>
      </c>
      <c r="M48" s="46">
        <v>44</v>
      </c>
      <c r="N48" s="75">
        <f t="shared" si="14"/>
        <v>2.9237600000000001E-3</v>
      </c>
      <c r="O48" s="76">
        <f t="shared" si="15"/>
        <v>2.9237600000000001E-3</v>
      </c>
      <c r="P48" s="76">
        <f t="shared" si="16"/>
        <v>1.47912E-3</v>
      </c>
      <c r="Q48" s="77">
        <f t="shared" si="17"/>
        <v>1.47912E-3</v>
      </c>
      <c r="R48" s="78">
        <f t="shared" si="18"/>
        <v>1979</v>
      </c>
      <c r="S48" s="79">
        <f t="shared" si="19"/>
        <v>0.98333333333333328</v>
      </c>
      <c r="T48" s="80">
        <f t="shared" si="20"/>
        <v>3.9916493290861801E-3</v>
      </c>
      <c r="U48" s="81">
        <f t="shared" si="21"/>
        <v>3.9916493290861801E-3</v>
      </c>
      <c r="V48" s="82">
        <f t="shared" si="22"/>
        <v>2.0703804538092546E-3</v>
      </c>
      <c r="W48" s="81">
        <f t="shared" si="23"/>
        <v>2.0703804538092546E-3</v>
      </c>
      <c r="X48" s="46">
        <v>44</v>
      </c>
      <c r="Y48" s="83">
        <f t="shared" si="24"/>
        <v>18.953648516035127</v>
      </c>
      <c r="Z48" s="84">
        <f t="shared" si="25"/>
        <v>18.814387090234753</v>
      </c>
      <c r="AA48" s="83">
        <f t="shared" si="26"/>
        <v>20.48099056103559</v>
      </c>
      <c r="AB48" s="84">
        <f t="shared" si="27"/>
        <v>20.380182395611939</v>
      </c>
    </row>
    <row r="49" spans="1:28">
      <c r="A49" s="46">
        <v>45</v>
      </c>
      <c r="B49" s="47">
        <v>3.9947999999999997E-3</v>
      </c>
      <c r="C49" s="48">
        <v>1.2845240000000001E-2</v>
      </c>
      <c r="D49" s="49">
        <v>2.599978E-2</v>
      </c>
      <c r="E49" s="50">
        <v>0.8</v>
      </c>
      <c r="F49" s="49">
        <v>0.8</v>
      </c>
      <c r="G49" s="46">
        <v>45</v>
      </c>
      <c r="H49" s="47">
        <v>2.0111999999999999E-3</v>
      </c>
      <c r="I49" s="48">
        <v>2.1059222400000001E-2</v>
      </c>
      <c r="J49" s="49">
        <v>2.7901142399999999E-2</v>
      </c>
      <c r="K49" s="50">
        <v>0.8</v>
      </c>
      <c r="L49" s="49">
        <v>0.8</v>
      </c>
      <c r="M49" s="46">
        <v>45</v>
      </c>
      <c r="N49" s="75">
        <f t="shared" si="14"/>
        <v>3.1958400000000001E-3</v>
      </c>
      <c r="O49" s="76">
        <f t="shared" si="15"/>
        <v>3.1958400000000001E-3</v>
      </c>
      <c r="P49" s="76">
        <f t="shared" si="16"/>
        <v>1.60896E-3</v>
      </c>
      <c r="Q49" s="77">
        <f t="shared" si="17"/>
        <v>1.60896E-3</v>
      </c>
      <c r="R49" s="78">
        <f t="shared" si="18"/>
        <v>1980</v>
      </c>
      <c r="S49" s="79">
        <f t="shared" si="19"/>
        <v>0.99545454545454548</v>
      </c>
      <c r="T49" s="80">
        <f t="shared" si="20"/>
        <v>4.2511512009645288E-3</v>
      </c>
      <c r="U49" s="81">
        <f t="shared" si="21"/>
        <v>4.2511512009645288E-3</v>
      </c>
      <c r="V49" s="82">
        <f t="shared" si="22"/>
        <v>2.1861860106865863E-3</v>
      </c>
      <c r="W49" s="81">
        <f t="shared" si="23"/>
        <v>2.1861860106865863E-3</v>
      </c>
      <c r="X49" s="46">
        <v>45</v>
      </c>
      <c r="Y49" s="83">
        <f t="shared" si="24"/>
        <v>18.74662440741502</v>
      </c>
      <c r="Z49" s="84">
        <f t="shared" si="25"/>
        <v>18.601212089601791</v>
      </c>
      <c r="AA49" s="83">
        <f t="shared" si="26"/>
        <v>20.302263593188435</v>
      </c>
      <c r="AB49" s="84">
        <f t="shared" si="27"/>
        <v>20.197205591113825</v>
      </c>
    </row>
    <row r="50" spans="1:28">
      <c r="A50" s="46">
        <v>46</v>
      </c>
      <c r="B50" s="47">
        <v>4.3518999999999997E-3</v>
      </c>
      <c r="C50" s="48">
        <v>1.2680800000000001E-2</v>
      </c>
      <c r="D50" s="49">
        <v>2.583365E-2</v>
      </c>
      <c r="E50" s="50">
        <v>0.8</v>
      </c>
      <c r="F50" s="49">
        <v>0.8</v>
      </c>
      <c r="G50" s="46">
        <v>46</v>
      </c>
      <c r="H50" s="47">
        <v>2.1721000000000002E-3</v>
      </c>
      <c r="I50" s="48">
        <v>2.0805014399999999E-2</v>
      </c>
      <c r="J50" s="49">
        <v>2.7663897600000001E-2</v>
      </c>
      <c r="K50" s="50">
        <v>0.8</v>
      </c>
      <c r="L50" s="49">
        <v>0.8</v>
      </c>
      <c r="M50" s="46">
        <v>46</v>
      </c>
      <c r="N50" s="75">
        <f t="shared" si="14"/>
        <v>3.4815200000000001E-3</v>
      </c>
      <c r="O50" s="76">
        <f t="shared" si="15"/>
        <v>3.4815200000000001E-3</v>
      </c>
      <c r="P50" s="76">
        <f t="shared" si="16"/>
        <v>1.7376800000000001E-3</v>
      </c>
      <c r="Q50" s="77">
        <f t="shared" si="17"/>
        <v>1.7376800000000001E-3</v>
      </c>
      <c r="R50" s="78">
        <f t="shared" si="18"/>
        <v>1981</v>
      </c>
      <c r="S50" s="79">
        <f t="shared" si="19"/>
        <v>1</v>
      </c>
      <c r="T50" s="80">
        <f t="shared" si="20"/>
        <v>4.5077830976444268E-3</v>
      </c>
      <c r="U50" s="81">
        <f t="shared" si="21"/>
        <v>4.5077830976444268E-3</v>
      </c>
      <c r="V50" s="82">
        <f t="shared" si="22"/>
        <v>2.291461597637592E-3</v>
      </c>
      <c r="W50" s="81">
        <f t="shared" si="23"/>
        <v>2.291461597637592E-3</v>
      </c>
      <c r="X50" s="46">
        <v>46</v>
      </c>
      <c r="Y50" s="83">
        <f t="shared" si="24"/>
        <v>18.535285685714669</v>
      </c>
      <c r="Z50" s="84">
        <f t="shared" si="25"/>
        <v>18.383411233930815</v>
      </c>
      <c r="AA50" s="83">
        <f t="shared" si="26"/>
        <v>20.118336562868002</v>
      </c>
      <c r="AB50" s="84">
        <f t="shared" si="27"/>
        <v>20.008836853978657</v>
      </c>
    </row>
    <row r="51" spans="1:28">
      <c r="A51" s="46">
        <v>47</v>
      </c>
      <c r="B51" s="47">
        <v>4.7251000000000003E-3</v>
      </c>
      <c r="C51" s="48">
        <v>1.2514000000000001E-2</v>
      </c>
      <c r="D51" s="49">
        <v>2.5665170000000001E-2</v>
      </c>
      <c r="E51" s="50">
        <v>0.8</v>
      </c>
      <c r="F51" s="49">
        <v>0.8</v>
      </c>
      <c r="G51" s="46">
        <v>47</v>
      </c>
      <c r="H51" s="47">
        <v>2.3381000000000001E-3</v>
      </c>
      <c r="I51" s="48">
        <v>2.0548838400000002E-2</v>
      </c>
      <c r="J51" s="49">
        <v>2.7425683199999999E-2</v>
      </c>
      <c r="K51" s="50">
        <v>0.8</v>
      </c>
      <c r="L51" s="49">
        <v>0.8</v>
      </c>
      <c r="M51" s="46">
        <v>47</v>
      </c>
      <c r="N51" s="75">
        <f t="shared" si="14"/>
        <v>3.7800800000000003E-3</v>
      </c>
      <c r="O51" s="76">
        <f t="shared" si="15"/>
        <v>3.7800800000000003E-3</v>
      </c>
      <c r="P51" s="76">
        <f t="shared" si="16"/>
        <v>1.8704800000000001E-3</v>
      </c>
      <c r="Q51" s="77">
        <f t="shared" si="17"/>
        <v>1.8704800000000001E-3</v>
      </c>
      <c r="R51" s="78">
        <f t="shared" si="18"/>
        <v>1982</v>
      </c>
      <c r="S51" s="79">
        <f t="shared" si="19"/>
        <v>1</v>
      </c>
      <c r="T51" s="80">
        <f t="shared" si="20"/>
        <v>4.7623045651827177E-3</v>
      </c>
      <c r="U51" s="81">
        <f t="shared" si="21"/>
        <v>4.7623045651827177E-3</v>
      </c>
      <c r="V51" s="82">
        <f t="shared" si="22"/>
        <v>2.3941451384585648E-3</v>
      </c>
      <c r="W51" s="81">
        <f t="shared" si="23"/>
        <v>2.3941451384585648E-3</v>
      </c>
      <c r="X51" s="46">
        <v>47</v>
      </c>
      <c r="Y51" s="83">
        <f t="shared" si="24"/>
        <v>18.319276437830787</v>
      </c>
      <c r="Z51" s="84">
        <f t="shared" si="25"/>
        <v>18.160611782122384</v>
      </c>
      <c r="AA51" s="83">
        <f t="shared" si="26"/>
        <v>19.928735958521134</v>
      </c>
      <c r="AB51" s="84">
        <f t="shared" si="27"/>
        <v>19.814594710990793</v>
      </c>
    </row>
    <row r="52" spans="1:28">
      <c r="A52" s="46">
        <v>48</v>
      </c>
      <c r="B52" s="47">
        <v>5.1126000000000001E-3</v>
      </c>
      <c r="C52" s="48">
        <v>1.2344890000000001E-2</v>
      </c>
      <c r="D52" s="49">
        <v>2.5494099999999999E-2</v>
      </c>
      <c r="E52" s="50">
        <v>0.8</v>
      </c>
      <c r="F52" s="49">
        <v>0.8</v>
      </c>
      <c r="G52" s="46">
        <v>48</v>
      </c>
      <c r="H52" s="47">
        <v>2.5167000000000002E-3</v>
      </c>
      <c r="I52" s="48">
        <v>2.02906848E-2</v>
      </c>
      <c r="J52" s="49">
        <v>2.7186384000000001E-2</v>
      </c>
      <c r="K52" s="50">
        <v>0.8</v>
      </c>
      <c r="L52" s="49">
        <v>0.8</v>
      </c>
      <c r="M52" s="46">
        <v>48</v>
      </c>
      <c r="N52" s="75">
        <f t="shared" si="14"/>
        <v>4.0900800000000003E-3</v>
      </c>
      <c r="O52" s="76">
        <f t="shared" si="15"/>
        <v>4.0900800000000003E-3</v>
      </c>
      <c r="P52" s="76">
        <f t="shared" si="16"/>
        <v>2.0133600000000001E-3</v>
      </c>
      <c r="Q52" s="77">
        <f t="shared" si="17"/>
        <v>2.0133600000000001E-3</v>
      </c>
      <c r="R52" s="78">
        <f t="shared" si="18"/>
        <v>1983</v>
      </c>
      <c r="S52" s="79">
        <f t="shared" si="19"/>
        <v>1</v>
      </c>
      <c r="T52" s="80">
        <f t="shared" si="20"/>
        <v>5.0154208180387015E-3</v>
      </c>
      <c r="U52" s="81">
        <f t="shared" si="21"/>
        <v>5.0154208180387015E-3</v>
      </c>
      <c r="V52" s="82">
        <f t="shared" si="22"/>
        <v>2.5025145346041834E-3</v>
      </c>
      <c r="W52" s="81">
        <f t="shared" si="23"/>
        <v>2.5025145346041834E-3</v>
      </c>
      <c r="X52" s="46">
        <v>48</v>
      </c>
      <c r="Y52" s="83">
        <f t="shared" si="24"/>
        <v>18.098236811131429</v>
      </c>
      <c r="Z52" s="84">
        <f t="shared" si="25"/>
        <v>17.932435975116423</v>
      </c>
      <c r="AA52" s="83">
        <f t="shared" si="26"/>
        <v>19.733129372616006</v>
      </c>
      <c r="AB52" s="84">
        <f t="shared" si="27"/>
        <v>19.614137591590392</v>
      </c>
    </row>
    <row r="53" spans="1:28">
      <c r="A53" s="46">
        <v>49</v>
      </c>
      <c r="B53" s="47">
        <v>5.5209999999999999E-3</v>
      </c>
      <c r="C53" s="48">
        <v>1.217353E-2</v>
      </c>
      <c r="D53" s="49">
        <v>2.5320209999999999E-2</v>
      </c>
      <c r="E53" s="50">
        <v>0.8</v>
      </c>
      <c r="F53" s="49">
        <v>0.8</v>
      </c>
      <c r="G53" s="46">
        <v>49</v>
      </c>
      <c r="H53" s="47">
        <v>2.7108000000000002E-3</v>
      </c>
      <c r="I53" s="48">
        <v>2.0030544000000001E-2</v>
      </c>
      <c r="J53" s="49">
        <v>2.69458944E-2</v>
      </c>
      <c r="K53" s="50">
        <v>0.8</v>
      </c>
      <c r="L53" s="49">
        <v>0.8</v>
      </c>
      <c r="M53" s="46">
        <v>49</v>
      </c>
      <c r="N53" s="75">
        <f t="shared" si="14"/>
        <v>4.4168000000000002E-3</v>
      </c>
      <c r="O53" s="76">
        <f t="shared" si="15"/>
        <v>4.4168000000000002E-3</v>
      </c>
      <c r="P53" s="76">
        <f t="shared" si="16"/>
        <v>2.1686400000000003E-3</v>
      </c>
      <c r="Q53" s="77">
        <f t="shared" si="17"/>
        <v>2.1686400000000003E-3</v>
      </c>
      <c r="R53" s="78">
        <f t="shared" si="18"/>
        <v>1984</v>
      </c>
      <c r="S53" s="79">
        <f t="shared" si="19"/>
        <v>1</v>
      </c>
      <c r="T53" s="80">
        <f t="shared" si="20"/>
        <v>5.2733030028751801E-3</v>
      </c>
      <c r="U53" s="81">
        <f t="shared" si="21"/>
        <v>5.2733030028751801E-3</v>
      </c>
      <c r="V53" s="82">
        <f t="shared" si="22"/>
        <v>2.6188138958631773E-3</v>
      </c>
      <c r="W53" s="81">
        <f t="shared" si="23"/>
        <v>2.6188138958631773E-3</v>
      </c>
      <c r="X53" s="46">
        <v>49</v>
      </c>
      <c r="Y53" s="83">
        <f t="shared" si="24"/>
        <v>17.87180088579515</v>
      </c>
      <c r="Z53" s="84">
        <f t="shared" si="25"/>
        <v>17.698498833619251</v>
      </c>
      <c r="AA53" s="83">
        <f t="shared" si="26"/>
        <v>19.531331989705063</v>
      </c>
      <c r="AB53" s="84">
        <f t="shared" si="27"/>
        <v>19.40727007068288</v>
      </c>
    </row>
    <row r="54" spans="1:28">
      <c r="A54" s="46">
        <v>50</v>
      </c>
      <c r="B54" s="47">
        <v>5.9700999999999999E-3</v>
      </c>
      <c r="C54" s="48">
        <v>1.2E-2</v>
      </c>
      <c r="D54" s="49">
        <v>2.5143269999999999E-2</v>
      </c>
      <c r="E54" s="50">
        <v>0.8</v>
      </c>
      <c r="F54" s="49">
        <v>0.8</v>
      </c>
      <c r="G54" s="46">
        <v>50</v>
      </c>
      <c r="H54" s="47">
        <v>2.9237999999999998E-3</v>
      </c>
      <c r="I54" s="48">
        <v>1.9768406400000001E-2</v>
      </c>
      <c r="J54" s="49">
        <v>2.6704108800000001E-2</v>
      </c>
      <c r="K54" s="50">
        <v>0.8</v>
      </c>
      <c r="L54" s="49">
        <v>0.8</v>
      </c>
      <c r="M54" s="46">
        <v>50</v>
      </c>
      <c r="N54" s="75">
        <f t="shared" si="14"/>
        <v>4.7760800000000003E-3</v>
      </c>
      <c r="O54" s="76">
        <f t="shared" si="15"/>
        <v>4.7760800000000003E-3</v>
      </c>
      <c r="P54" s="76">
        <f t="shared" si="16"/>
        <v>2.3390400000000001E-3</v>
      </c>
      <c r="Q54" s="77">
        <f t="shared" si="17"/>
        <v>2.3390400000000001E-3</v>
      </c>
      <c r="R54" s="78">
        <f t="shared" si="18"/>
        <v>1985</v>
      </c>
      <c r="S54" s="79">
        <f t="shared" si="19"/>
        <v>1</v>
      </c>
      <c r="T54" s="80">
        <f t="shared" si="20"/>
        <v>5.5537853836137487E-3</v>
      </c>
      <c r="U54" s="81">
        <f t="shared" si="21"/>
        <v>5.5537853836137487E-3</v>
      </c>
      <c r="V54" s="82">
        <f t="shared" si="22"/>
        <v>2.7455055839254194E-3</v>
      </c>
      <c r="W54" s="81">
        <f t="shared" si="23"/>
        <v>2.7455055839254194E-3</v>
      </c>
      <c r="X54" s="46">
        <v>50</v>
      </c>
      <c r="Y54" s="83">
        <f t="shared" si="24"/>
        <v>17.639692363939513</v>
      </c>
      <c r="Z54" s="84">
        <f t="shared" si="25"/>
        <v>17.458502762004606</v>
      </c>
      <c r="AA54" s="83">
        <f t="shared" si="26"/>
        <v>19.32318910543497</v>
      </c>
      <c r="AB54" s="84">
        <f t="shared" si="27"/>
        <v>19.193825931574583</v>
      </c>
    </row>
    <row r="55" spans="1:28">
      <c r="A55" s="46">
        <v>51</v>
      </c>
      <c r="B55" s="47">
        <v>6.4825999999999998E-3</v>
      </c>
      <c r="C55" s="48">
        <v>1.1824350000000001E-2</v>
      </c>
      <c r="D55" s="49">
        <v>2.4963039999999999E-2</v>
      </c>
      <c r="E55" s="50">
        <v>0.78</v>
      </c>
      <c r="F55" s="49">
        <v>0.78</v>
      </c>
      <c r="G55" s="46">
        <v>51</v>
      </c>
      <c r="H55" s="47">
        <v>3.1576E-3</v>
      </c>
      <c r="I55" s="48">
        <v>1.95042528E-2</v>
      </c>
      <c r="J55" s="49">
        <v>2.64609024E-2</v>
      </c>
      <c r="K55" s="50">
        <v>0.78</v>
      </c>
      <c r="L55" s="49">
        <v>0.78</v>
      </c>
      <c r="M55" s="46">
        <v>51</v>
      </c>
      <c r="N55" s="75">
        <f t="shared" si="14"/>
        <v>5.056428E-3</v>
      </c>
      <c r="O55" s="76">
        <f t="shared" si="15"/>
        <v>5.056428E-3</v>
      </c>
      <c r="P55" s="76">
        <f t="shared" si="16"/>
        <v>2.4629280000000001E-3</v>
      </c>
      <c r="Q55" s="77">
        <f t="shared" si="17"/>
        <v>2.4629280000000001E-3</v>
      </c>
      <c r="R55" s="78">
        <f t="shared" si="18"/>
        <v>1986</v>
      </c>
      <c r="S55" s="79">
        <f t="shared" si="19"/>
        <v>1</v>
      </c>
      <c r="T55" s="80">
        <f t="shared" si="20"/>
        <v>5.7286248185520437E-3</v>
      </c>
      <c r="U55" s="81">
        <f t="shared" si="21"/>
        <v>5.7286248185520437E-3</v>
      </c>
      <c r="V55" s="82">
        <f t="shared" si="22"/>
        <v>2.8113235819924565E-3</v>
      </c>
      <c r="W55" s="81">
        <f t="shared" si="23"/>
        <v>2.8113235819924565E-3</v>
      </c>
      <c r="X55" s="46">
        <v>51</v>
      </c>
      <c r="Y55" s="83">
        <f t="shared" si="24"/>
        <v>17.401926624229461</v>
      </c>
      <c r="Z55" s="84">
        <f t="shared" si="25"/>
        <v>17.212437053810618</v>
      </c>
      <c r="AA55" s="83">
        <f t="shared" si="26"/>
        <v>19.10857938104391</v>
      </c>
      <c r="AB55" s="84">
        <f t="shared" si="27"/>
        <v>18.973671289309934</v>
      </c>
    </row>
    <row r="56" spans="1:28">
      <c r="A56" s="46">
        <v>52</v>
      </c>
      <c r="B56" s="47">
        <v>7.0816000000000004E-3</v>
      </c>
      <c r="C56" s="48">
        <v>1.164665E-2</v>
      </c>
      <c r="D56" s="49">
        <v>2.4779300000000001E-2</v>
      </c>
      <c r="E56" s="50">
        <v>0.76</v>
      </c>
      <c r="F56" s="49">
        <v>0.76</v>
      </c>
      <c r="G56" s="46">
        <v>52</v>
      </c>
      <c r="H56" s="47">
        <v>3.4169000000000001E-3</v>
      </c>
      <c r="I56" s="48">
        <v>1.9238083199999999E-2</v>
      </c>
      <c r="J56" s="49">
        <v>2.6216179199999998E-2</v>
      </c>
      <c r="K56" s="50">
        <v>0.76</v>
      </c>
      <c r="L56" s="49">
        <v>0.76</v>
      </c>
      <c r="M56" s="46">
        <v>52</v>
      </c>
      <c r="N56" s="75">
        <f t="shared" si="14"/>
        <v>5.3820160000000008E-3</v>
      </c>
      <c r="O56" s="76">
        <f t="shared" si="15"/>
        <v>5.3820160000000008E-3</v>
      </c>
      <c r="P56" s="76">
        <f t="shared" si="16"/>
        <v>2.5968440000000001E-3</v>
      </c>
      <c r="Q56" s="77">
        <f t="shared" si="17"/>
        <v>2.5968440000000001E-3</v>
      </c>
      <c r="R56" s="78">
        <f t="shared" si="18"/>
        <v>1987</v>
      </c>
      <c r="S56" s="79">
        <f t="shared" si="19"/>
        <v>1</v>
      </c>
      <c r="T56" s="80">
        <f t="shared" si="20"/>
        <v>5.9427989445099199E-3</v>
      </c>
      <c r="U56" s="81">
        <f t="shared" si="21"/>
        <v>5.9427989445099199E-3</v>
      </c>
      <c r="V56" s="82">
        <f t="shared" si="22"/>
        <v>2.8839520075907401E-3</v>
      </c>
      <c r="W56" s="81">
        <f t="shared" si="23"/>
        <v>2.8839520075907401E-3</v>
      </c>
      <c r="X56" s="46">
        <v>52</v>
      </c>
      <c r="Y56" s="83">
        <f t="shared" si="24"/>
        <v>17.156285612754033</v>
      </c>
      <c r="Z56" s="84">
        <f t="shared" si="25"/>
        <v>16.958081019767903</v>
      </c>
      <c r="AA56" s="83">
        <f t="shared" si="26"/>
        <v>18.8860172619842</v>
      </c>
      <c r="AB56" s="84">
        <f t="shared" si="27"/>
        <v>18.745317293441314</v>
      </c>
    </row>
    <row r="57" spans="1:28">
      <c r="A57" s="46">
        <v>53</v>
      </c>
      <c r="B57" s="47">
        <v>7.7816999999999999E-3</v>
      </c>
      <c r="C57" s="48">
        <v>1.146695E-2</v>
      </c>
      <c r="D57" s="49">
        <v>2.45918E-2</v>
      </c>
      <c r="E57" s="50">
        <v>0.74</v>
      </c>
      <c r="F57" s="49">
        <v>0.74</v>
      </c>
      <c r="G57" s="46">
        <v>53</v>
      </c>
      <c r="H57" s="47">
        <v>3.7033000000000001E-3</v>
      </c>
      <c r="I57" s="48">
        <v>1.8969878400000001E-2</v>
      </c>
      <c r="J57" s="49">
        <v>2.5969823999999999E-2</v>
      </c>
      <c r="K57" s="50">
        <v>0.74</v>
      </c>
      <c r="L57" s="49">
        <v>0.74</v>
      </c>
      <c r="M57" s="46">
        <v>53</v>
      </c>
      <c r="N57" s="75">
        <f t="shared" si="14"/>
        <v>5.7584580000000002E-3</v>
      </c>
      <c r="O57" s="76">
        <f t="shared" si="15"/>
        <v>5.7584580000000002E-3</v>
      </c>
      <c r="P57" s="76">
        <f t="shared" si="16"/>
        <v>2.7404420000000001E-3</v>
      </c>
      <c r="Q57" s="77">
        <f t="shared" si="17"/>
        <v>2.7404420000000001E-3</v>
      </c>
      <c r="R57" s="78">
        <f t="shared" si="18"/>
        <v>1988</v>
      </c>
      <c r="S57" s="79">
        <f t="shared" si="19"/>
        <v>1</v>
      </c>
      <c r="T57" s="80">
        <f t="shared" si="20"/>
        <v>6.1993542322281783E-3</v>
      </c>
      <c r="U57" s="81">
        <f t="shared" si="21"/>
        <v>6.1993542322281783E-3</v>
      </c>
      <c r="V57" s="82">
        <f t="shared" si="22"/>
        <v>2.962485740922382E-3</v>
      </c>
      <c r="W57" s="81">
        <f t="shared" si="23"/>
        <v>2.962485740922382E-3</v>
      </c>
      <c r="X57" s="46">
        <v>53</v>
      </c>
      <c r="Y57" s="83">
        <f t="shared" si="24"/>
        <v>16.902988097086624</v>
      </c>
      <c r="Z57" s="84">
        <f t="shared" si="25"/>
        <v>16.69562299124895</v>
      </c>
      <c r="AA57" s="83">
        <f t="shared" si="26"/>
        <v>18.655258823600018</v>
      </c>
      <c r="AB57" s="84">
        <f t="shared" si="27"/>
        <v>18.508507632924449</v>
      </c>
    </row>
    <row r="58" spans="1:28">
      <c r="A58" s="46">
        <v>54</v>
      </c>
      <c r="B58" s="47">
        <v>8.5851E-3</v>
      </c>
      <c r="C58" s="48">
        <v>1.128533E-2</v>
      </c>
      <c r="D58" s="49">
        <v>2.440032E-2</v>
      </c>
      <c r="E58" s="50">
        <v>0.72</v>
      </c>
      <c r="F58" s="49">
        <v>0.72</v>
      </c>
      <c r="G58" s="46">
        <v>54</v>
      </c>
      <c r="H58" s="47">
        <v>4.0175000000000002E-3</v>
      </c>
      <c r="I58" s="48">
        <v>1.8699638399999999E-2</v>
      </c>
      <c r="J58" s="49">
        <v>2.57217312E-2</v>
      </c>
      <c r="K58" s="50">
        <v>0.72</v>
      </c>
      <c r="L58" s="49">
        <v>0.72</v>
      </c>
      <c r="M58" s="46">
        <v>54</v>
      </c>
      <c r="N58" s="75">
        <f t="shared" si="14"/>
        <v>6.1812719999999998E-3</v>
      </c>
      <c r="O58" s="76">
        <f t="shared" si="15"/>
        <v>6.1812719999999998E-3</v>
      </c>
      <c r="P58" s="76">
        <f t="shared" si="16"/>
        <v>2.8925999999999999E-3</v>
      </c>
      <c r="Q58" s="77">
        <f t="shared" si="17"/>
        <v>2.8925999999999999E-3</v>
      </c>
      <c r="R58" s="78">
        <f t="shared" si="18"/>
        <v>1989</v>
      </c>
      <c r="S58" s="79">
        <f t="shared" si="19"/>
        <v>1</v>
      </c>
      <c r="T58" s="80">
        <f t="shared" si="20"/>
        <v>6.4904035920122114E-3</v>
      </c>
      <c r="U58" s="81">
        <f t="shared" si="21"/>
        <v>6.4904035920122114E-3</v>
      </c>
      <c r="V58" s="82">
        <f t="shared" si="22"/>
        <v>3.0452993774832985E-3</v>
      </c>
      <c r="W58" s="81">
        <f t="shared" si="23"/>
        <v>3.0452993774832985E-3</v>
      </c>
      <c r="X58" s="46">
        <v>54</v>
      </c>
      <c r="Y58" s="83">
        <f t="shared" si="24"/>
        <v>16.642279003745884</v>
      </c>
      <c r="Z58" s="84">
        <f t="shared" si="25"/>
        <v>16.425274002803697</v>
      </c>
      <c r="AA58" s="83">
        <f t="shared" si="26"/>
        <v>18.416026392135173</v>
      </c>
      <c r="AB58" s="84">
        <f t="shared" si="27"/>
        <v>18.262951672157349</v>
      </c>
    </row>
    <row r="59" spans="1:28">
      <c r="A59" s="46">
        <v>55</v>
      </c>
      <c r="B59" s="47">
        <v>9.4912999999999994E-3</v>
      </c>
      <c r="C59" s="48">
        <v>1.110185E-2</v>
      </c>
      <c r="D59" s="49">
        <v>2.4204630000000001E-2</v>
      </c>
      <c r="E59" s="50">
        <v>0.7</v>
      </c>
      <c r="F59" s="49">
        <v>0.7</v>
      </c>
      <c r="G59" s="46">
        <v>55</v>
      </c>
      <c r="H59" s="47">
        <v>4.3607000000000003E-3</v>
      </c>
      <c r="I59" s="48">
        <v>1.8427343999999998E-2</v>
      </c>
      <c r="J59" s="49">
        <v>2.5471785600000001E-2</v>
      </c>
      <c r="K59" s="50">
        <v>0.7</v>
      </c>
      <c r="L59" s="49">
        <v>0.7</v>
      </c>
      <c r="M59" s="46">
        <v>55</v>
      </c>
      <c r="N59" s="75">
        <f t="shared" si="14"/>
        <v>6.6439099999999994E-3</v>
      </c>
      <c r="O59" s="76">
        <f t="shared" si="15"/>
        <v>6.6439099999999994E-3</v>
      </c>
      <c r="P59" s="76">
        <f t="shared" si="16"/>
        <v>3.0524900000000002E-3</v>
      </c>
      <c r="Q59" s="77">
        <f t="shared" si="17"/>
        <v>3.0524900000000002E-3</v>
      </c>
      <c r="R59" s="78">
        <f t="shared" si="18"/>
        <v>1990</v>
      </c>
      <c r="S59" s="79">
        <f t="shared" si="19"/>
        <v>1</v>
      </c>
      <c r="T59" s="80">
        <f t="shared" si="20"/>
        <v>6.8066853954692188E-3</v>
      </c>
      <c r="U59" s="81">
        <f t="shared" si="21"/>
        <v>6.8066853954692188E-3</v>
      </c>
      <c r="V59" s="82">
        <f t="shared" si="22"/>
        <v>3.1312410782768627E-3</v>
      </c>
      <c r="W59" s="81">
        <f t="shared" si="23"/>
        <v>3.1312410782768627E-3</v>
      </c>
      <c r="X59" s="46">
        <v>55</v>
      </c>
      <c r="Y59" s="83">
        <f t="shared" si="24"/>
        <v>16.374245626526623</v>
      </c>
      <c r="Z59" s="84">
        <f t="shared" si="25"/>
        <v>16.147086068334296</v>
      </c>
      <c r="AA59" s="83">
        <f t="shared" si="26"/>
        <v>18.167994429948223</v>
      </c>
      <c r="AB59" s="84">
        <f t="shared" si="27"/>
        <v>18.008310435602713</v>
      </c>
    </row>
    <row r="60" spans="1:28">
      <c r="A60" s="46">
        <v>56</v>
      </c>
      <c r="B60" s="47">
        <v>1.04969E-2</v>
      </c>
      <c r="C60" s="48">
        <v>1.091657E-2</v>
      </c>
      <c r="D60" s="49">
        <v>2.400449E-2</v>
      </c>
      <c r="E60" s="50">
        <v>0.68</v>
      </c>
      <c r="F60" s="49">
        <v>0.68</v>
      </c>
      <c r="G60" s="46">
        <v>56</v>
      </c>
      <c r="H60" s="47">
        <v>4.7324000000000003E-3</v>
      </c>
      <c r="I60" s="48">
        <v>1.8152995200000001E-2</v>
      </c>
      <c r="J60" s="49">
        <v>2.5219881600000001E-2</v>
      </c>
      <c r="K60" s="50">
        <v>0.68</v>
      </c>
      <c r="L60" s="49">
        <v>0.68</v>
      </c>
      <c r="M60" s="46">
        <v>56</v>
      </c>
      <c r="N60" s="75">
        <f t="shared" si="14"/>
        <v>7.1378920000000007E-3</v>
      </c>
      <c r="O60" s="76">
        <f t="shared" si="15"/>
        <v>7.1378920000000007E-3</v>
      </c>
      <c r="P60" s="76">
        <f t="shared" si="16"/>
        <v>3.2180320000000004E-3</v>
      </c>
      <c r="Q60" s="77">
        <f t="shared" si="17"/>
        <v>3.2180320000000004E-3</v>
      </c>
      <c r="R60" s="78">
        <f t="shared" si="18"/>
        <v>1991</v>
      </c>
      <c r="S60" s="79">
        <f t="shared" si="19"/>
        <v>1</v>
      </c>
      <c r="T60" s="80">
        <f t="shared" si="20"/>
        <v>7.1378920000000007E-3</v>
      </c>
      <c r="U60" s="81">
        <f t="shared" si="21"/>
        <v>7.1378920000000007E-3</v>
      </c>
      <c r="V60" s="82">
        <f t="shared" si="22"/>
        <v>3.2180320000000004E-3</v>
      </c>
      <c r="W60" s="81">
        <f t="shared" si="23"/>
        <v>3.2180320000000004E-3</v>
      </c>
      <c r="X60" s="46">
        <v>56</v>
      </c>
      <c r="Y60" s="83">
        <f t="shared" si="24"/>
        <v>16.098794883606587</v>
      </c>
      <c r="Z60" s="84">
        <f t="shared" si="25"/>
        <v>15.860929870777651</v>
      </c>
      <c r="AA60" s="83">
        <f t="shared" si="26"/>
        <v>17.910797231181117</v>
      </c>
      <c r="AB60" s="84">
        <f t="shared" si="27"/>
        <v>17.744204234226366</v>
      </c>
    </row>
    <row r="61" spans="1:28">
      <c r="A61" s="46">
        <v>57</v>
      </c>
      <c r="B61" s="47">
        <v>1.1595299999999999E-2</v>
      </c>
      <c r="C61" s="48">
        <v>1.0729560000000001E-2</v>
      </c>
      <c r="D61" s="49">
        <v>2.379966E-2</v>
      </c>
      <c r="E61" s="50">
        <v>0.67</v>
      </c>
      <c r="F61" s="49">
        <v>0.66</v>
      </c>
      <c r="G61" s="46">
        <v>57</v>
      </c>
      <c r="H61" s="47">
        <v>5.1322E-3</v>
      </c>
      <c r="I61" s="48">
        <v>1.7876572800000001E-2</v>
      </c>
      <c r="J61" s="49">
        <v>2.4965904000000001E-2</v>
      </c>
      <c r="K61" s="50">
        <v>0.67</v>
      </c>
      <c r="L61" s="49">
        <v>0.66</v>
      </c>
      <c r="M61" s="46">
        <v>57</v>
      </c>
      <c r="N61" s="75">
        <f t="shared" si="14"/>
        <v>7.652898E-3</v>
      </c>
      <c r="O61" s="76">
        <f t="shared" si="15"/>
        <v>7.7688510000000002E-3</v>
      </c>
      <c r="P61" s="76">
        <f t="shared" si="16"/>
        <v>3.3872520000000003E-3</v>
      </c>
      <c r="Q61" s="77">
        <f t="shared" si="17"/>
        <v>3.4385740000000002E-3</v>
      </c>
      <c r="R61" s="78">
        <f t="shared" si="18"/>
        <v>1992</v>
      </c>
      <c r="S61" s="79">
        <f t="shared" si="19"/>
        <v>1</v>
      </c>
      <c r="T61" s="80">
        <f t="shared" si="20"/>
        <v>7.4729119288538971E-3</v>
      </c>
      <c r="U61" s="81">
        <f t="shared" si="21"/>
        <v>7.5861378671698652E-3</v>
      </c>
      <c r="V61" s="82">
        <f t="shared" si="22"/>
        <v>3.3037330923009751E-3</v>
      </c>
      <c r="W61" s="81">
        <f t="shared" si="23"/>
        <v>3.3537896543055349E-3</v>
      </c>
      <c r="X61" s="46">
        <v>57</v>
      </c>
      <c r="Y61" s="83">
        <f t="shared" si="24"/>
        <v>15.815636987680119</v>
      </c>
      <c r="Z61" s="84">
        <f t="shared" si="25"/>
        <v>15.566478910895006</v>
      </c>
      <c r="AA61" s="83">
        <f t="shared" si="26"/>
        <v>17.644008103112441</v>
      </c>
      <c r="AB61" s="84">
        <f t="shared" si="27"/>
        <v>17.470192040628312</v>
      </c>
    </row>
    <row r="62" spans="1:28">
      <c r="A62" s="46">
        <v>58</v>
      </c>
      <c r="B62" s="47">
        <v>1.27831E-2</v>
      </c>
      <c r="C62" s="48">
        <v>1.0540870000000001E-2</v>
      </c>
      <c r="D62" s="49">
        <v>2.358992E-2</v>
      </c>
      <c r="E62" s="50">
        <v>0.67</v>
      </c>
      <c r="F62" s="49">
        <v>0.64</v>
      </c>
      <c r="G62" s="46">
        <v>58</v>
      </c>
      <c r="H62" s="47">
        <v>5.5618999999999998E-3</v>
      </c>
      <c r="I62" s="48">
        <v>1.7598067200000001E-2</v>
      </c>
      <c r="J62" s="49">
        <v>2.47097472E-2</v>
      </c>
      <c r="K62" s="50">
        <v>0.67</v>
      </c>
      <c r="L62" s="49">
        <v>0.64</v>
      </c>
      <c r="M62" s="46">
        <v>58</v>
      </c>
      <c r="N62" s="75">
        <f t="shared" si="14"/>
        <v>8.1811840000000011E-3</v>
      </c>
      <c r="O62" s="76">
        <f t="shared" si="15"/>
        <v>8.5646770000000014E-3</v>
      </c>
      <c r="P62" s="76">
        <f t="shared" si="16"/>
        <v>3.5596159999999998E-3</v>
      </c>
      <c r="Q62" s="77">
        <f t="shared" si="17"/>
        <v>3.7264730000000001E-3</v>
      </c>
      <c r="R62" s="78">
        <f t="shared" si="18"/>
        <v>1993</v>
      </c>
      <c r="S62" s="79">
        <f t="shared" si="19"/>
        <v>1</v>
      </c>
      <c r="T62" s="80">
        <f t="shared" si="20"/>
        <v>7.8041609252568729E-3</v>
      </c>
      <c r="U62" s="81">
        <f t="shared" si="21"/>
        <v>8.169980968628289E-3</v>
      </c>
      <c r="V62" s="82">
        <f t="shared" si="22"/>
        <v>3.3879776483797461E-3</v>
      </c>
      <c r="W62" s="81">
        <f t="shared" si="23"/>
        <v>3.546789100647547E-3</v>
      </c>
      <c r="X62" s="46">
        <v>58</v>
      </c>
      <c r="Y62" s="83">
        <f t="shared" si="24"/>
        <v>15.524273999545322</v>
      </c>
      <c r="Z62" s="84">
        <f t="shared" si="25"/>
        <v>15.264940006756136</v>
      </c>
      <c r="AA62" s="83">
        <f t="shared" si="26"/>
        <v>17.367144838358207</v>
      </c>
      <c r="AB62" s="84">
        <f t="shared" si="27"/>
        <v>17.186640098006414</v>
      </c>
    </row>
    <row r="63" spans="1:28">
      <c r="A63" s="46">
        <v>59</v>
      </c>
      <c r="B63" s="47">
        <v>1.40661E-2</v>
      </c>
      <c r="C63" s="48">
        <v>1.035057E-2</v>
      </c>
      <c r="D63" s="49">
        <v>2.3375030000000002E-2</v>
      </c>
      <c r="E63" s="50">
        <v>0.67</v>
      </c>
      <c r="F63" s="49">
        <v>0.62</v>
      </c>
      <c r="G63" s="46">
        <v>59</v>
      </c>
      <c r="H63" s="47">
        <v>6.0314000000000001E-3</v>
      </c>
      <c r="I63" s="48">
        <v>1.73174592E-2</v>
      </c>
      <c r="J63" s="49">
        <v>2.4451305600000001E-2</v>
      </c>
      <c r="K63" s="50">
        <v>0.67</v>
      </c>
      <c r="L63" s="49">
        <v>0.62</v>
      </c>
      <c r="M63" s="46">
        <v>59</v>
      </c>
      <c r="N63" s="75">
        <f t="shared" si="14"/>
        <v>8.7209820000000004E-3</v>
      </c>
      <c r="O63" s="76">
        <f t="shared" si="15"/>
        <v>9.4242869999999999E-3</v>
      </c>
      <c r="P63" s="76">
        <f t="shared" si="16"/>
        <v>3.7394680000000001E-3</v>
      </c>
      <c r="Q63" s="77">
        <f t="shared" si="17"/>
        <v>4.0410380000000003E-3</v>
      </c>
      <c r="R63" s="78">
        <f t="shared" si="18"/>
        <v>1994</v>
      </c>
      <c r="S63" s="79">
        <f t="shared" si="19"/>
        <v>1</v>
      </c>
      <c r="T63" s="80">
        <f t="shared" si="20"/>
        <v>8.1303726283862426E-3</v>
      </c>
      <c r="U63" s="81">
        <f t="shared" si="21"/>
        <v>8.7860478403528758E-3</v>
      </c>
      <c r="V63" s="82">
        <f t="shared" si="22"/>
        <v>3.4749824843151927E-3</v>
      </c>
      <c r="W63" s="81">
        <f t="shared" si="23"/>
        <v>3.7552230072438377E-3</v>
      </c>
      <c r="X63" s="46">
        <v>59</v>
      </c>
      <c r="Y63" s="83">
        <f t="shared" si="24"/>
        <v>15.224055942033882</v>
      </c>
      <c r="Z63" s="84">
        <f t="shared" si="25"/>
        <v>14.957742075113712</v>
      </c>
      <c r="AA63" s="83">
        <f t="shared" si="26"/>
        <v>17.079696261066143</v>
      </c>
      <c r="AB63" s="84">
        <f t="shared" si="27"/>
        <v>16.894025246537154</v>
      </c>
    </row>
    <row r="64" spans="1:28">
      <c r="A64" s="46">
        <v>60</v>
      </c>
      <c r="B64" s="47">
        <v>1.54529E-2</v>
      </c>
      <c r="C64" s="48">
        <v>1.0158729999999999E-2</v>
      </c>
      <c r="D64" s="49">
        <v>2.3154770000000002E-2</v>
      </c>
      <c r="E64" s="50">
        <v>0.67</v>
      </c>
      <c r="F64" s="49">
        <v>0.6</v>
      </c>
      <c r="G64" s="46">
        <v>60</v>
      </c>
      <c r="H64" s="47">
        <v>6.5642000000000001E-3</v>
      </c>
      <c r="I64" s="48">
        <v>1.7034758399999999E-2</v>
      </c>
      <c r="J64" s="49">
        <v>2.4190463999999998E-2</v>
      </c>
      <c r="K64" s="50">
        <v>0.67</v>
      </c>
      <c r="L64" s="49">
        <v>0.6</v>
      </c>
      <c r="M64" s="46">
        <v>60</v>
      </c>
      <c r="N64" s="75">
        <f t="shared" si="14"/>
        <v>9.2717400000000005E-3</v>
      </c>
      <c r="O64" s="76">
        <f t="shared" si="15"/>
        <v>1.0353443E-2</v>
      </c>
      <c r="P64" s="76">
        <f t="shared" si="16"/>
        <v>3.93852E-3</v>
      </c>
      <c r="Q64" s="77">
        <f t="shared" si="17"/>
        <v>4.3980140000000004E-3</v>
      </c>
      <c r="R64" s="78">
        <f t="shared" si="18"/>
        <v>1995</v>
      </c>
      <c r="S64" s="79">
        <f t="shared" si="19"/>
        <v>1</v>
      </c>
      <c r="T64" s="80">
        <f t="shared" si="20"/>
        <v>8.4515679826280762E-3</v>
      </c>
      <c r="U64" s="81">
        <f t="shared" si="21"/>
        <v>9.4375842472680174E-3</v>
      </c>
      <c r="V64" s="82">
        <f t="shared" si="22"/>
        <v>3.5752788110996392E-3</v>
      </c>
      <c r="W64" s="81">
        <f t="shared" si="23"/>
        <v>3.9923946723945973E-3</v>
      </c>
      <c r="X64" s="46">
        <v>60</v>
      </c>
      <c r="Y64" s="83">
        <f t="shared" si="24"/>
        <v>14.914276807644285</v>
      </c>
      <c r="Z64" s="84">
        <f t="shared" si="25"/>
        <v>14.644720977232849</v>
      </c>
      <c r="AA64" s="83">
        <f t="shared" si="26"/>
        <v>16.781198482300603</v>
      </c>
      <c r="AB64" s="84">
        <f t="shared" si="27"/>
        <v>16.592093266772359</v>
      </c>
    </row>
    <row r="65" spans="1:28">
      <c r="A65" s="46">
        <v>61</v>
      </c>
      <c r="B65" s="47">
        <v>1.6942200000000001E-2</v>
      </c>
      <c r="C65" s="48">
        <v>9.9654099999999992E-3</v>
      </c>
      <c r="D65" s="49">
        <v>2.292889E-2</v>
      </c>
      <c r="E65" s="50">
        <v>0.67567911000000003</v>
      </c>
      <c r="F65" s="49">
        <v>0.60649763694626901</v>
      </c>
      <c r="G65" s="46">
        <v>61</v>
      </c>
      <c r="H65" s="47">
        <v>7.1846000000000002E-3</v>
      </c>
      <c r="I65" s="48">
        <v>1.67499456E-2</v>
      </c>
      <c r="J65" s="49">
        <v>2.3927116799999999E-2</v>
      </c>
      <c r="K65" s="50">
        <v>0.67018259000000002</v>
      </c>
      <c r="L65" s="49">
        <v>0.60156389496417895</v>
      </c>
      <c r="M65" s="46">
        <v>61</v>
      </c>
      <c r="N65" s="75">
        <f t="shared" si="14"/>
        <v>1.027540426467108E-2</v>
      </c>
      <c r="O65" s="76">
        <f t="shared" si="15"/>
        <v>1.1447490617442001E-2</v>
      </c>
      <c r="P65" s="76">
        <f t="shared" si="16"/>
        <v>4.3219959597596402E-3</v>
      </c>
      <c r="Q65" s="77">
        <f t="shared" si="17"/>
        <v>4.8149938361140001E-3</v>
      </c>
      <c r="R65" s="78">
        <f t="shared" si="18"/>
        <v>1996</v>
      </c>
      <c r="S65" s="79">
        <f t="shared" si="19"/>
        <v>1</v>
      </c>
      <c r="T65" s="80">
        <f t="shared" si="20"/>
        <v>9.1624045903680434E-3</v>
      </c>
      <c r="U65" s="81">
        <f t="shared" si="21"/>
        <v>1.0207534212747896E-2</v>
      </c>
      <c r="V65" s="82">
        <f t="shared" si="22"/>
        <v>3.8346637023386958E-3</v>
      </c>
      <c r="W65" s="81">
        <f t="shared" si="23"/>
        <v>4.2720729640288108E-3</v>
      </c>
      <c r="X65" s="46">
        <v>61</v>
      </c>
      <c r="Y65" s="83">
        <f t="shared" si="24"/>
        <v>14.594191683111378</v>
      </c>
      <c r="Z65" s="84">
        <f t="shared" si="25"/>
        <v>14.325709910504473</v>
      </c>
      <c r="AA65" s="83">
        <f t="shared" si="26"/>
        <v>16.471336040328115</v>
      </c>
      <c r="AB65" s="84">
        <f t="shared" si="27"/>
        <v>16.280776281933697</v>
      </c>
    </row>
    <row r="66" spans="1:28">
      <c r="A66" s="46">
        <v>62</v>
      </c>
      <c r="B66" s="47">
        <v>1.8533399999999998E-2</v>
      </c>
      <c r="C66" s="48">
        <v>9.7706700000000004E-3</v>
      </c>
      <c r="D66" s="49">
        <v>2.2697160000000001E-2</v>
      </c>
      <c r="E66" s="50">
        <v>0.68138971000000004</v>
      </c>
      <c r="F66" s="49">
        <v>0.61304733908656694</v>
      </c>
      <c r="G66" s="46">
        <v>62</v>
      </c>
      <c r="H66" s="47">
        <v>7.9051999999999994E-3</v>
      </c>
      <c r="I66" s="48">
        <v>1.6463011199999999E-2</v>
      </c>
      <c r="J66" s="49">
        <v>2.36611488E-2</v>
      </c>
      <c r="K66" s="50">
        <v>0.67058978999999996</v>
      </c>
      <c r="L66" s="49">
        <v>0.60333063494328398</v>
      </c>
      <c r="M66" s="46">
        <v>62</v>
      </c>
      <c r="N66" s="75">
        <f t="shared" si="14"/>
        <v>1.1361851554226979E-2</v>
      </c>
      <c r="O66" s="76">
        <f t="shared" si="15"/>
        <v>1.2628468051314E-2</v>
      </c>
      <c r="P66" s="76">
        <f t="shared" si="16"/>
        <v>4.7694493353536479E-3</v>
      </c>
      <c r="Q66" s="77">
        <f t="shared" si="17"/>
        <v>5.3011464079079995E-3</v>
      </c>
      <c r="R66" s="78">
        <f t="shared" si="18"/>
        <v>1997</v>
      </c>
      <c r="S66" s="79">
        <f t="shared" si="19"/>
        <v>1</v>
      </c>
      <c r="T66" s="80">
        <f t="shared" si="20"/>
        <v>9.9152941523552168E-3</v>
      </c>
      <c r="U66" s="81">
        <f t="shared" si="21"/>
        <v>1.1020648775842731E-2</v>
      </c>
      <c r="V66" s="82">
        <f t="shared" si="22"/>
        <v>4.138212627450644E-3</v>
      </c>
      <c r="W66" s="81">
        <f t="shared" si="23"/>
        <v>4.5995395826010782E-3</v>
      </c>
      <c r="X66" s="46">
        <v>62</v>
      </c>
      <c r="Y66" s="83">
        <f t="shared" si="24"/>
        <v>14.268694906142434</v>
      </c>
      <c r="Z66" s="84">
        <f t="shared" si="25"/>
        <v>14.00166073794249</v>
      </c>
      <c r="AA66" s="83">
        <f t="shared" si="26"/>
        <v>16.152127458823138</v>
      </c>
      <c r="AB66" s="84">
        <f t="shared" si="27"/>
        <v>15.960190431253151</v>
      </c>
    </row>
    <row r="67" spans="1:28">
      <c r="A67" s="46">
        <v>63</v>
      </c>
      <c r="B67" s="47">
        <v>2.0235199999999998E-2</v>
      </c>
      <c r="C67" s="48">
        <v>9.5745699999999993E-3</v>
      </c>
      <c r="D67" s="49">
        <v>2.2459360000000001E-2</v>
      </c>
      <c r="E67" s="50">
        <v>0.68713219000000003</v>
      </c>
      <c r="F67" s="49">
        <v>0.61964965551940299</v>
      </c>
      <c r="G67" s="46">
        <v>63</v>
      </c>
      <c r="H67" s="47">
        <v>8.7341999999999993E-3</v>
      </c>
      <c r="I67" s="48">
        <v>1.6173936E-2</v>
      </c>
      <c r="J67" s="49">
        <v>2.3392454399999998E-2</v>
      </c>
      <c r="K67" s="50">
        <v>0.67122482999999999</v>
      </c>
      <c r="L67" s="49">
        <v>0.60530454072537299</v>
      </c>
      <c r="M67" s="46">
        <v>63</v>
      </c>
      <c r="N67" s="75">
        <f t="shared" si="14"/>
        <v>1.2538734709366223E-2</v>
      </c>
      <c r="O67" s="76">
        <f t="shared" si="15"/>
        <v>1.3904257291087999E-2</v>
      </c>
      <c r="P67" s="76">
        <f t="shared" si="16"/>
        <v>5.2868509196035522E-3</v>
      </c>
      <c r="Q67" s="77">
        <f t="shared" si="17"/>
        <v>5.8626119101859997E-3</v>
      </c>
      <c r="R67" s="78">
        <f t="shared" si="18"/>
        <v>1998</v>
      </c>
      <c r="S67" s="79">
        <f t="shared" si="19"/>
        <v>1</v>
      </c>
      <c r="T67" s="80">
        <f t="shared" si="20"/>
        <v>1.0714597989516432E-2</v>
      </c>
      <c r="U67" s="81">
        <f t="shared" si="21"/>
        <v>1.1881464172419743E-2</v>
      </c>
      <c r="V67" s="82">
        <f t="shared" si="22"/>
        <v>4.4883071256717104E-3</v>
      </c>
      <c r="W67" s="81">
        <f t="shared" si="23"/>
        <v>4.9771032343595614E-3</v>
      </c>
      <c r="X67" s="46">
        <v>63</v>
      </c>
      <c r="Y67" s="83">
        <f t="shared" si="24"/>
        <v>13.937638487783696</v>
      </c>
      <c r="Z67" s="84">
        <f t="shared" si="25"/>
        <v>13.672405951370992</v>
      </c>
      <c r="AA67" s="83">
        <f t="shared" si="26"/>
        <v>15.823694369026891</v>
      </c>
      <c r="AB67" s="84">
        <f t="shared" si="27"/>
        <v>15.630491111064112</v>
      </c>
    </row>
    <row r="68" spans="1:28">
      <c r="A68" s="46">
        <v>64</v>
      </c>
      <c r="B68" s="47">
        <v>2.2065600000000001E-2</v>
      </c>
      <c r="C68" s="48">
        <v>9.3771900000000005E-3</v>
      </c>
      <c r="D68" s="49">
        <v>2.2215249999999999E-2</v>
      </c>
      <c r="E68" s="50">
        <v>0.69290691999999998</v>
      </c>
      <c r="F68" s="49">
        <v>0.62630512052537302</v>
      </c>
      <c r="G68" s="46">
        <v>64</v>
      </c>
      <c r="H68" s="47">
        <v>9.6810000000000004E-3</v>
      </c>
      <c r="I68" s="48">
        <v>1.58827104E-2</v>
      </c>
      <c r="J68" s="49">
        <v>2.3120918399999999E-2</v>
      </c>
      <c r="K68" s="50">
        <v>0.67209092999999998</v>
      </c>
      <c r="L68" s="49">
        <v>0.60748995105671599</v>
      </c>
      <c r="M68" s="46">
        <v>64</v>
      </c>
      <c r="N68" s="75">
        <f t="shared" ref="N68:N99" si="28">B68*F68</f>
        <v>1.3819798267464671E-2</v>
      </c>
      <c r="O68" s="76">
        <f t="shared" ref="O68:O99" si="29">B68*E68</f>
        <v>1.5289406933952001E-2</v>
      </c>
      <c r="P68" s="76">
        <f t="shared" ref="P68:P99" si="30">H68*L68</f>
        <v>5.8811102161800679E-3</v>
      </c>
      <c r="Q68" s="77">
        <f t="shared" ref="Q68:Q99" si="31">H68*K68</f>
        <v>6.5065122933299999E-3</v>
      </c>
      <c r="R68" s="78">
        <f t="shared" ref="R68:R99" si="32">$N$1+M68</f>
        <v>1999</v>
      </c>
      <c r="S68" s="79">
        <f t="shared" ref="S68:S99" si="33">IF(R68&lt;1971,15/(1991-R68),IF(R68&lt;1981,1+(R68-1981)^2/(20*(R68-1991)),IF(R68&lt;=2000,1,IF(R68&lt;2010,1-(R68-2000)^2/(20*(R68-1991)),14/(R68-1991)))))</f>
        <v>1</v>
      </c>
      <c r="T68" s="80">
        <f t="shared" ref="T68:T99" si="34">N68*EXP(-($C68+$S68*($D68-$C68))*($R68-1991))</f>
        <v>1.1569591353463299E-2</v>
      </c>
      <c r="U68" s="81">
        <f t="shared" ref="U68:U99" si="35">O68*EXP(-($C68+$S68*($D68-$C68))*($R68-1991))</f>
        <v>1.2799911173745727E-2</v>
      </c>
      <c r="V68" s="82">
        <f t="shared" ref="V68:V99" si="36">P68*EXP(-($I68+$S68*($J68-$I68))*($R68-1991))</f>
        <v>4.8879754979543307E-3</v>
      </c>
      <c r="W68" s="81">
        <f t="shared" ref="W68:W99" si="37">Q68*EXP(-($I68+$S68*($J68-$I68))*($R68-1991))</f>
        <v>5.4077668157685001E-3</v>
      </c>
      <c r="X68" s="46">
        <v>64</v>
      </c>
      <c r="Y68" s="83">
        <f t="shared" ref="Y68:Y99" si="38">1+(1-T68)*$Z$1*Y69</f>
        <v>13.600871902032232</v>
      </c>
      <c r="Z68" s="84">
        <f t="shared" ref="Z68:Z99" si="39">1+(1-U68)*$Z$1*Z69</f>
        <v>13.337774479038341</v>
      </c>
      <c r="AA68" s="83">
        <f t="shared" ref="AA68:AA99" si="40">1+(1-V68)*$Z$1*AA69</f>
        <v>15.486148735506756</v>
      </c>
      <c r="AB68" s="84">
        <f t="shared" ref="AB68:AB99" si="41">1+(1-W68)*$Z$1*AB69</f>
        <v>15.291819720898806</v>
      </c>
    </row>
    <row r="69" spans="1:28">
      <c r="A69" s="46">
        <v>65</v>
      </c>
      <c r="B69" s="47">
        <v>2.4038500000000001E-2</v>
      </c>
      <c r="C69" s="48">
        <v>9.1785700000000005E-3</v>
      </c>
      <c r="D69" s="49">
        <v>2.1964589999999999E-2</v>
      </c>
      <c r="E69" s="50">
        <v>0.69871428999999996</v>
      </c>
      <c r="F69" s="49">
        <v>0.633014289597015</v>
      </c>
      <c r="G69" s="46">
        <v>65</v>
      </c>
      <c r="H69" s="47">
        <v>1.07563E-2</v>
      </c>
      <c r="I69" s="48">
        <v>1.5589344E-2</v>
      </c>
      <c r="J69" s="49">
        <v>2.2846435200000001E-2</v>
      </c>
      <c r="K69" s="50">
        <v>0.67319130999999999</v>
      </c>
      <c r="L69" s="49">
        <v>0.60989123159701497</v>
      </c>
      <c r="M69" s="46">
        <v>65</v>
      </c>
      <c r="N69" s="75">
        <f t="shared" si="28"/>
        <v>1.5216714000477846E-2</v>
      </c>
      <c r="O69" s="76">
        <f t="shared" si="29"/>
        <v>1.6796043460165E-2</v>
      </c>
      <c r="P69" s="76">
        <f t="shared" si="30"/>
        <v>6.5601730544269723E-3</v>
      </c>
      <c r="Q69" s="77">
        <f t="shared" si="31"/>
        <v>7.241047687753E-3</v>
      </c>
      <c r="R69" s="78">
        <f t="shared" si="32"/>
        <v>2000</v>
      </c>
      <c r="S69" s="79">
        <f t="shared" si="33"/>
        <v>1</v>
      </c>
      <c r="T69" s="80">
        <f t="shared" si="34"/>
        <v>1.2487312377334851E-2</v>
      </c>
      <c r="U69" s="81">
        <f t="shared" si="35"/>
        <v>1.3783359625723805E-2</v>
      </c>
      <c r="V69" s="82">
        <f t="shared" si="36"/>
        <v>5.3409261061654655E-3</v>
      </c>
      <c r="W69" s="81">
        <f t="shared" si="37"/>
        <v>5.8952561633127867E-3</v>
      </c>
      <c r="X69" s="46">
        <v>65</v>
      </c>
      <c r="Y69" s="83">
        <f t="shared" si="38"/>
        <v>13.258299889881114</v>
      </c>
      <c r="Z69" s="84">
        <f t="shared" si="39"/>
        <v>12.997654278430845</v>
      </c>
      <c r="AA69" s="83">
        <f t="shared" si="40"/>
        <v>15.139596662462052</v>
      </c>
      <c r="AB69" s="84">
        <f t="shared" si="41"/>
        <v>14.944307841766092</v>
      </c>
    </row>
    <row r="70" spans="1:28">
      <c r="A70" s="46">
        <v>66</v>
      </c>
      <c r="B70" s="47">
        <v>2.6166200000000001E-2</v>
      </c>
      <c r="C70" s="48">
        <v>8.9787900000000004E-3</v>
      </c>
      <c r="D70" s="49">
        <v>2.170716E-2</v>
      </c>
      <c r="E70" s="50">
        <v>0.70455467000000005</v>
      </c>
      <c r="F70" s="49">
        <v>0.63977770332537298</v>
      </c>
      <c r="G70" s="46">
        <v>66</v>
      </c>
      <c r="H70" s="47">
        <v>1.19709E-2</v>
      </c>
      <c r="I70" s="48">
        <v>1.5293808000000001E-2</v>
      </c>
      <c r="J70" s="49">
        <v>2.2568899199999999E-2</v>
      </c>
      <c r="K70" s="50">
        <v>0.67452917999999995</v>
      </c>
      <c r="L70" s="49">
        <v>0.61251276583880598</v>
      </c>
      <c r="M70" s="46">
        <v>66</v>
      </c>
      <c r="N70" s="75">
        <f t="shared" si="28"/>
        <v>1.6740551340752374E-2</v>
      </c>
      <c r="O70" s="76">
        <f t="shared" si="29"/>
        <v>1.8435518406154001E-2</v>
      </c>
      <c r="P70" s="76">
        <f t="shared" si="30"/>
        <v>7.3323290685797619E-3</v>
      </c>
      <c r="Q70" s="77">
        <f t="shared" si="31"/>
        <v>8.074721360862E-3</v>
      </c>
      <c r="R70" s="78">
        <f t="shared" si="32"/>
        <v>2001</v>
      </c>
      <c r="S70" s="79">
        <f t="shared" si="33"/>
        <v>0.995</v>
      </c>
      <c r="T70" s="80">
        <f t="shared" si="34"/>
        <v>1.3482584539834723E-2</v>
      </c>
      <c r="U70" s="81">
        <f t="shared" si="35"/>
        <v>1.4847685144130946E-2</v>
      </c>
      <c r="V70" s="82">
        <f t="shared" si="36"/>
        <v>5.8530797322723632E-3</v>
      </c>
      <c r="W70" s="81">
        <f t="shared" si="37"/>
        <v>6.4456992449416235E-3</v>
      </c>
      <c r="X70" s="46">
        <v>66</v>
      </c>
      <c r="Y70" s="83">
        <f t="shared" si="38"/>
        <v>12.909841104084824</v>
      </c>
      <c r="Z70" s="84">
        <f t="shared" si="39"/>
        <v>12.651946782030324</v>
      </c>
      <c r="AA70" s="83">
        <f t="shared" si="40"/>
        <v>14.784141536449805</v>
      </c>
      <c r="AB70" s="84">
        <f t="shared" si="41"/>
        <v>14.5880806276679</v>
      </c>
    </row>
    <row r="71" spans="1:28">
      <c r="A71" s="46">
        <v>67</v>
      </c>
      <c r="B71" s="47">
        <v>2.84651E-2</v>
      </c>
      <c r="C71" s="48">
        <v>8.7779199999999998E-3</v>
      </c>
      <c r="D71" s="49">
        <v>2.1442719999999998E-2</v>
      </c>
      <c r="E71" s="50">
        <v>0.71042844000000005</v>
      </c>
      <c r="F71" s="49">
        <v>0.64659591449552201</v>
      </c>
      <c r="G71" s="46">
        <v>67</v>
      </c>
      <c r="H71" s="47">
        <v>1.3339800000000001E-2</v>
      </c>
      <c r="I71" s="48">
        <v>1.4996092799999999E-2</v>
      </c>
      <c r="J71" s="49">
        <v>2.2288195199999999E-2</v>
      </c>
      <c r="K71" s="50">
        <v>0.67610778000000005</v>
      </c>
      <c r="L71" s="49">
        <v>0.615358991408955</v>
      </c>
      <c r="M71" s="46">
        <v>67</v>
      </c>
      <c r="N71" s="75">
        <f t="shared" si="28"/>
        <v>1.8405417365706483E-2</v>
      </c>
      <c r="O71" s="76">
        <f t="shared" si="29"/>
        <v>2.0222416587444003E-2</v>
      </c>
      <c r="P71" s="76">
        <f t="shared" si="30"/>
        <v>8.2087658735971788E-3</v>
      </c>
      <c r="Q71" s="77">
        <f t="shared" si="31"/>
        <v>9.0191425636440004E-3</v>
      </c>
      <c r="R71" s="78">
        <f t="shared" si="32"/>
        <v>2002</v>
      </c>
      <c r="S71" s="79">
        <f t="shared" si="33"/>
        <v>0.98181818181818181</v>
      </c>
      <c r="T71" s="80">
        <f t="shared" si="34"/>
        <v>1.4575005117195701E-2</v>
      </c>
      <c r="U71" s="81">
        <f t="shared" si="35"/>
        <v>1.6013862624665674E-2</v>
      </c>
      <c r="V71" s="82">
        <f t="shared" si="36"/>
        <v>6.4333208417391438E-3</v>
      </c>
      <c r="W71" s="81">
        <f t="shared" si="37"/>
        <v>7.068424014373938E-3</v>
      </c>
      <c r="X71" s="46">
        <v>67</v>
      </c>
      <c r="Y71" s="83">
        <f t="shared" si="38"/>
        <v>12.55551554806623</v>
      </c>
      <c r="Z71" s="84">
        <f t="shared" si="39"/>
        <v>12.300660994827428</v>
      </c>
      <c r="AA71" s="83">
        <f t="shared" si="40"/>
        <v>14.419908069571035</v>
      </c>
      <c r="AB71" s="84">
        <f t="shared" si="41"/>
        <v>14.223282856342335</v>
      </c>
    </row>
    <row r="72" spans="1:28">
      <c r="A72" s="46">
        <v>68</v>
      </c>
      <c r="B72" s="47">
        <v>3.0959799999999999E-2</v>
      </c>
      <c r="C72" s="48">
        <v>8.5760000000000003E-3</v>
      </c>
      <c r="D72" s="49">
        <v>2.1171039999999999E-2</v>
      </c>
      <c r="E72" s="50">
        <v>0.71633599999999997</v>
      </c>
      <c r="F72" s="49">
        <v>0.65346949731343296</v>
      </c>
      <c r="G72" s="46">
        <v>68</v>
      </c>
      <c r="H72" s="47">
        <v>1.48837E-2</v>
      </c>
      <c r="I72" s="48">
        <v>1.4696188799999999E-2</v>
      </c>
      <c r="J72" s="49">
        <v>2.2004217600000001E-2</v>
      </c>
      <c r="K72" s="50">
        <v>0.67793031000000004</v>
      </c>
      <c r="L72" s="49">
        <v>0.61843433652537305</v>
      </c>
      <c r="M72" s="46">
        <v>68</v>
      </c>
      <c r="N72" s="75">
        <f t="shared" si="28"/>
        <v>2.0231284942924421E-2</v>
      </c>
      <c r="O72" s="76">
        <f t="shared" si="29"/>
        <v>2.2177619292799999E-2</v>
      </c>
      <c r="P72" s="76">
        <f t="shared" si="30"/>
        <v>9.2045911345426945E-3</v>
      </c>
      <c r="Q72" s="77">
        <f t="shared" si="31"/>
        <v>1.0090111354947001E-2</v>
      </c>
      <c r="R72" s="78">
        <f t="shared" si="32"/>
        <v>2003</v>
      </c>
      <c r="S72" s="79">
        <f t="shared" si="33"/>
        <v>0.96250000000000002</v>
      </c>
      <c r="T72" s="80">
        <f t="shared" si="34"/>
        <v>1.5781611827037773E-2</v>
      </c>
      <c r="U72" s="81">
        <f t="shared" si="35"/>
        <v>1.7299868985790747E-2</v>
      </c>
      <c r="V72" s="82">
        <f t="shared" si="36"/>
        <v>7.0918085858801341E-3</v>
      </c>
      <c r="W72" s="81">
        <f t="shared" si="37"/>
        <v>7.7740702757521122E-3</v>
      </c>
      <c r="X72" s="46">
        <v>68</v>
      </c>
      <c r="Y72" s="83">
        <f t="shared" si="38"/>
        <v>12.195485432575353</v>
      </c>
      <c r="Z72" s="84">
        <f t="shared" si="39"/>
        <v>11.943956310166541</v>
      </c>
      <c r="AA72" s="83">
        <f t="shared" si="40"/>
        <v>14.047073724511222</v>
      </c>
      <c r="AB72" s="84">
        <f t="shared" si="41"/>
        <v>13.850112639377992</v>
      </c>
    </row>
    <row r="73" spans="1:28">
      <c r="A73" s="46">
        <v>69</v>
      </c>
      <c r="B73" s="47">
        <v>3.3657199999999998E-2</v>
      </c>
      <c r="C73" s="48">
        <v>8.3731099999999996E-3</v>
      </c>
      <c r="D73" s="49">
        <v>2.0891880000000002E-2</v>
      </c>
      <c r="E73" s="50">
        <v>0.72227770999999996</v>
      </c>
      <c r="F73" s="49">
        <v>0.66039899275522396</v>
      </c>
      <c r="G73" s="46">
        <v>69</v>
      </c>
      <c r="H73" s="47">
        <v>1.66275E-2</v>
      </c>
      <c r="I73" s="48">
        <v>1.4394096E-2</v>
      </c>
      <c r="J73" s="49">
        <v>2.1716851200000001E-2</v>
      </c>
      <c r="K73" s="50">
        <v>0.68</v>
      </c>
      <c r="L73" s="49">
        <v>0.62174328358208997</v>
      </c>
      <c r="M73" s="46">
        <v>69</v>
      </c>
      <c r="N73" s="75">
        <f t="shared" si="28"/>
        <v>2.2227180978961123E-2</v>
      </c>
      <c r="O73" s="76">
        <f t="shared" si="29"/>
        <v>2.4309845341011996E-2</v>
      </c>
      <c r="P73" s="76">
        <f t="shared" si="30"/>
        <v>1.0338036447761201E-2</v>
      </c>
      <c r="Q73" s="77">
        <f t="shared" si="31"/>
        <v>1.1306700000000001E-2</v>
      </c>
      <c r="R73" s="78">
        <f t="shared" si="32"/>
        <v>2004</v>
      </c>
      <c r="S73" s="79">
        <f t="shared" si="33"/>
        <v>0.93846153846153846</v>
      </c>
      <c r="T73" s="80">
        <f t="shared" si="34"/>
        <v>1.7111255859655339E-2</v>
      </c>
      <c r="U73" s="81">
        <f t="shared" si="35"/>
        <v>1.8714563215751021E-2</v>
      </c>
      <c r="V73" s="82">
        <f t="shared" si="36"/>
        <v>7.8410212780669342E-3</v>
      </c>
      <c r="W73" s="81">
        <f t="shared" si="37"/>
        <v>8.5757170360836483E-3</v>
      </c>
      <c r="X73" s="46">
        <v>69</v>
      </c>
      <c r="Y73" s="83">
        <f t="shared" si="38"/>
        <v>11.830001338922582</v>
      </c>
      <c r="Z73" s="84">
        <f t="shared" si="39"/>
        <v>11.582083082482697</v>
      </c>
      <c r="AA73" s="83">
        <f t="shared" si="40"/>
        <v>13.665872424888034</v>
      </c>
      <c r="AB73" s="84">
        <f t="shared" si="41"/>
        <v>13.468824734974595</v>
      </c>
    </row>
    <row r="74" spans="1:28">
      <c r="A74" s="46">
        <v>70</v>
      </c>
      <c r="B74" s="47">
        <v>3.6505900000000001E-2</v>
      </c>
      <c r="C74" s="48">
        <v>8.1693100000000008E-3</v>
      </c>
      <c r="D74" s="49">
        <v>2.0605020000000002E-2</v>
      </c>
      <c r="E74" s="50">
        <v>0.72825397000000003</v>
      </c>
      <c r="F74" s="49">
        <v>0.66738498146268699</v>
      </c>
      <c r="G74" s="46">
        <v>70</v>
      </c>
      <c r="H74" s="47">
        <v>1.8600999999999999E-2</v>
      </c>
      <c r="I74" s="48">
        <v>1.40897952E-2</v>
      </c>
      <c r="J74" s="49">
        <v>2.1425990400000001E-2</v>
      </c>
      <c r="K74" s="50">
        <v>0.68232006999999995</v>
      </c>
      <c r="L74" s="49">
        <v>0.62529033280597002</v>
      </c>
      <c r="M74" s="46">
        <v>70</v>
      </c>
      <c r="N74" s="75">
        <f t="shared" si="28"/>
        <v>2.4363489394778705E-2</v>
      </c>
      <c r="O74" s="76">
        <f t="shared" si="29"/>
        <v>2.6585566603423001E-2</v>
      </c>
      <c r="P74" s="76">
        <f t="shared" si="30"/>
        <v>1.1631025480523848E-2</v>
      </c>
      <c r="Q74" s="77">
        <f t="shared" si="31"/>
        <v>1.2691835622069998E-2</v>
      </c>
      <c r="R74" s="78">
        <f t="shared" si="32"/>
        <v>2005</v>
      </c>
      <c r="S74" s="79">
        <f t="shared" si="33"/>
        <v>0.9107142857142857</v>
      </c>
      <c r="T74" s="80">
        <f t="shared" si="34"/>
        <v>1.8544254913010122E-2</v>
      </c>
      <c r="U74" s="81">
        <f t="shared" si="35"/>
        <v>2.023558760865924E-2</v>
      </c>
      <c r="V74" s="82">
        <f t="shared" si="36"/>
        <v>8.6961684142618893E-3</v>
      </c>
      <c r="W74" s="81">
        <f t="shared" si="37"/>
        <v>9.4893042956929411E-3</v>
      </c>
      <c r="X74" s="46">
        <v>70</v>
      </c>
      <c r="Y74" s="83">
        <f t="shared" si="38"/>
        <v>11.45928413528687</v>
      </c>
      <c r="Z74" s="84">
        <f t="shared" si="39"/>
        <v>11.215255004545337</v>
      </c>
      <c r="AA74" s="83">
        <f t="shared" si="40"/>
        <v>13.276609499469483</v>
      </c>
      <c r="AB74" s="84">
        <f t="shared" si="41"/>
        <v>13.079745924324454</v>
      </c>
    </row>
    <row r="75" spans="1:28">
      <c r="A75" s="46">
        <v>71</v>
      </c>
      <c r="B75" s="47">
        <v>3.9559400000000002E-2</v>
      </c>
      <c r="C75" s="48">
        <v>7.9646700000000001E-3</v>
      </c>
      <c r="D75" s="49">
        <v>2.0310209999999999E-2</v>
      </c>
      <c r="E75" s="50">
        <v>0.73426513999999998</v>
      </c>
      <c r="F75" s="49">
        <v>0.67442801068059699</v>
      </c>
      <c r="G75" s="46">
        <v>71</v>
      </c>
      <c r="H75" s="47">
        <v>2.0841499999999999E-2</v>
      </c>
      <c r="I75" s="48">
        <v>1.3783267199999999E-2</v>
      </c>
      <c r="J75" s="49">
        <v>2.1131520000000001E-2</v>
      </c>
      <c r="K75" s="50">
        <v>0.68489374000000003</v>
      </c>
      <c r="L75" s="49">
        <v>0.62908001133731295</v>
      </c>
      <c r="M75" s="46">
        <v>71</v>
      </c>
      <c r="N75" s="75">
        <f t="shared" si="28"/>
        <v>2.667996744571801E-2</v>
      </c>
      <c r="O75" s="76">
        <f t="shared" si="29"/>
        <v>2.9047088379316001E-2</v>
      </c>
      <c r="P75" s="76">
        <f t="shared" si="30"/>
        <v>1.3110971056286606E-2</v>
      </c>
      <c r="Q75" s="77">
        <f t="shared" si="31"/>
        <v>1.4274212882209999E-2</v>
      </c>
      <c r="R75" s="78">
        <f t="shared" si="32"/>
        <v>2006</v>
      </c>
      <c r="S75" s="79">
        <f t="shared" si="33"/>
        <v>0.88</v>
      </c>
      <c r="T75" s="80">
        <f t="shared" si="34"/>
        <v>2.0115322193978147E-2</v>
      </c>
      <c r="U75" s="81">
        <f t="shared" si="35"/>
        <v>2.1900009538455247E-2</v>
      </c>
      <c r="V75" s="82">
        <f t="shared" si="36"/>
        <v>9.67653052269489E-3</v>
      </c>
      <c r="W75" s="81">
        <f t="shared" si="37"/>
        <v>1.0535059230103318E-2</v>
      </c>
      <c r="X75" s="46">
        <v>71</v>
      </c>
      <c r="Y75" s="83">
        <f t="shared" si="38"/>
        <v>11.083184906859168</v>
      </c>
      <c r="Z75" s="84">
        <f t="shared" si="39"/>
        <v>10.843285457569502</v>
      </c>
      <c r="AA75" s="83">
        <f t="shared" si="40"/>
        <v>12.879677726075634</v>
      </c>
      <c r="AB75" s="84">
        <f t="shared" si="41"/>
        <v>12.683291372603001</v>
      </c>
    </row>
    <row r="76" spans="1:28">
      <c r="A76" s="46">
        <v>72</v>
      </c>
      <c r="B76" s="47">
        <v>4.2995400000000003E-2</v>
      </c>
      <c r="C76" s="48">
        <v>7.7592399999999997E-3</v>
      </c>
      <c r="D76" s="49">
        <v>2.0007239999999999E-2</v>
      </c>
      <c r="E76" s="50">
        <v>0.74031161999999995</v>
      </c>
      <c r="F76" s="49">
        <v>0.68152866748656704</v>
      </c>
      <c r="G76" s="46">
        <v>72</v>
      </c>
      <c r="H76" s="47">
        <v>2.3394100000000001E-2</v>
      </c>
      <c r="I76" s="48">
        <v>1.3474521600000001E-2</v>
      </c>
      <c r="J76" s="49">
        <v>2.08333344E-2</v>
      </c>
      <c r="K76" s="50">
        <v>0.68772422</v>
      </c>
      <c r="L76" s="49">
        <v>0.63311686402388101</v>
      </c>
      <c r="M76" s="46">
        <v>72</v>
      </c>
      <c r="N76" s="75">
        <f t="shared" si="28"/>
        <v>2.9302597670051948E-2</v>
      </c>
      <c r="O76" s="76">
        <f t="shared" si="29"/>
        <v>3.1829994226548003E-2</v>
      </c>
      <c r="P76" s="76">
        <f t="shared" si="30"/>
        <v>1.4811199228661075E-2</v>
      </c>
      <c r="Q76" s="77">
        <f t="shared" si="31"/>
        <v>1.6088689175102002E-2</v>
      </c>
      <c r="R76" s="78">
        <f t="shared" si="32"/>
        <v>2007</v>
      </c>
      <c r="S76" s="79">
        <f t="shared" si="33"/>
        <v>0.84687500000000004</v>
      </c>
      <c r="T76" s="80">
        <f t="shared" si="34"/>
        <v>2.1923693122936291E-2</v>
      </c>
      <c r="U76" s="81">
        <f t="shared" si="35"/>
        <v>2.3814647199039102E-2</v>
      </c>
      <c r="V76" s="82">
        <f t="shared" si="36"/>
        <v>1.0805760161231569E-2</v>
      </c>
      <c r="W76" s="81">
        <f t="shared" si="37"/>
        <v>1.1737774494204194E-2</v>
      </c>
      <c r="X76" s="46">
        <v>72</v>
      </c>
      <c r="Y76" s="83">
        <f t="shared" si="38"/>
        <v>10.701782098086289</v>
      </c>
      <c r="Z76" s="84">
        <f t="shared" si="39"/>
        <v>10.466227354773462</v>
      </c>
      <c r="AA76" s="83">
        <f t="shared" si="40"/>
        <v>12.475585216252206</v>
      </c>
      <c r="AB76" s="84">
        <f t="shared" si="41"/>
        <v>12.279993486229836</v>
      </c>
    </row>
    <row r="77" spans="1:28">
      <c r="A77" s="46">
        <v>73</v>
      </c>
      <c r="B77" s="47">
        <v>4.7020800000000001E-2</v>
      </c>
      <c r="C77" s="48">
        <v>7.5530900000000002E-3</v>
      </c>
      <c r="D77" s="49">
        <v>1.9695859999999999E-2</v>
      </c>
      <c r="E77" s="50">
        <v>0.74639378000000001</v>
      </c>
      <c r="F77" s="49">
        <v>0.68868751462089595</v>
      </c>
      <c r="G77" s="46">
        <v>73</v>
      </c>
      <c r="H77" s="47">
        <v>2.6311000000000001E-2</v>
      </c>
      <c r="I77" s="48">
        <v>1.3163539199999999E-2</v>
      </c>
      <c r="J77" s="49">
        <v>2.0531328000000001E-2</v>
      </c>
      <c r="K77" s="50">
        <v>0.69081475000000003</v>
      </c>
      <c r="L77" s="49">
        <v>0.63740549022388104</v>
      </c>
      <c r="M77" s="46">
        <v>73</v>
      </c>
      <c r="N77" s="75">
        <f t="shared" si="28"/>
        <v>3.2382637887486222E-2</v>
      </c>
      <c r="O77" s="76">
        <f t="shared" si="29"/>
        <v>3.5096032650623998E-2</v>
      </c>
      <c r="P77" s="76">
        <f t="shared" si="30"/>
        <v>1.6770775853280535E-2</v>
      </c>
      <c r="Q77" s="77">
        <f t="shared" si="31"/>
        <v>1.8176026887250001E-2</v>
      </c>
      <c r="R77" s="78">
        <f t="shared" si="32"/>
        <v>2008</v>
      </c>
      <c r="S77" s="79">
        <f t="shared" si="33"/>
        <v>0.81176470588235294</v>
      </c>
      <c r="T77" s="80">
        <f t="shared" si="34"/>
        <v>2.4086455149287457E-2</v>
      </c>
      <c r="U77" s="81">
        <f t="shared" si="35"/>
        <v>2.6104699045652841E-2</v>
      </c>
      <c r="V77" s="82">
        <f t="shared" si="36"/>
        <v>1.211182426327285E-2</v>
      </c>
      <c r="W77" s="81">
        <f t="shared" si="37"/>
        <v>1.3126694041398905E-2</v>
      </c>
      <c r="X77" s="46">
        <v>73</v>
      </c>
      <c r="Y77" s="83">
        <f t="shared" si="38"/>
        <v>10.31601860822701</v>
      </c>
      <c r="Z77" s="84">
        <f t="shared" si="39"/>
        <v>10.085048316609726</v>
      </c>
      <c r="AA77" s="83">
        <f t="shared" si="40"/>
        <v>12.064979904096036</v>
      </c>
      <c r="AB77" s="84">
        <f t="shared" si="41"/>
        <v>11.870526792294392</v>
      </c>
    </row>
    <row r="78" spans="1:28">
      <c r="A78" s="46">
        <v>74</v>
      </c>
      <c r="B78" s="47">
        <v>5.17327E-2</v>
      </c>
      <c r="C78" s="48">
        <v>7.3462900000000001E-3</v>
      </c>
      <c r="D78" s="49">
        <v>1.9375839999999998E-2</v>
      </c>
      <c r="E78" s="50">
        <v>0.75251199999999996</v>
      </c>
      <c r="F78" s="49">
        <v>0.69590512716417896</v>
      </c>
      <c r="G78" s="46">
        <v>74</v>
      </c>
      <c r="H78" s="47">
        <v>2.9651799999999999E-2</v>
      </c>
      <c r="I78" s="48">
        <v>1.2850300800000001E-2</v>
      </c>
      <c r="J78" s="49">
        <v>2.02253856E-2</v>
      </c>
      <c r="K78" s="50">
        <v>0.69416853000000001</v>
      </c>
      <c r="L78" s="49">
        <v>0.64195047938507499</v>
      </c>
      <c r="M78" s="46">
        <v>74</v>
      </c>
      <c r="N78" s="75">
        <f t="shared" si="28"/>
        <v>3.6001051172046321E-2</v>
      </c>
      <c r="O78" s="76">
        <f t="shared" si="29"/>
        <v>3.8929477542399997E-2</v>
      </c>
      <c r="P78" s="76">
        <f t="shared" si="30"/>
        <v>1.9034987224630366E-2</v>
      </c>
      <c r="Q78" s="77">
        <f t="shared" si="31"/>
        <v>2.0583346417854E-2</v>
      </c>
      <c r="R78" s="78">
        <f t="shared" si="32"/>
        <v>2009</v>
      </c>
      <c r="S78" s="79">
        <f t="shared" si="33"/>
        <v>0.77500000000000002</v>
      </c>
      <c r="T78" s="80">
        <f t="shared" si="34"/>
        <v>2.6669022737344627E-2</v>
      </c>
      <c r="U78" s="81">
        <f t="shared" si="35"/>
        <v>2.8838355768271311E-2</v>
      </c>
      <c r="V78" s="82">
        <f t="shared" si="36"/>
        <v>1.3627514463778195E-2</v>
      </c>
      <c r="W78" s="81">
        <f t="shared" si="37"/>
        <v>1.4736014671935742E-2</v>
      </c>
      <c r="X78" s="46">
        <v>74</v>
      </c>
      <c r="Y78" s="83">
        <f t="shared" si="38"/>
        <v>9.9277844883669317</v>
      </c>
      <c r="Z78" s="84">
        <f t="shared" si="39"/>
        <v>9.7017104816249908</v>
      </c>
      <c r="AA78" s="83">
        <f t="shared" si="40"/>
        <v>11.648665692023279</v>
      </c>
      <c r="AB78" s="84">
        <f t="shared" si="41"/>
        <v>11.455723643274249</v>
      </c>
    </row>
    <row r="79" spans="1:28">
      <c r="A79" s="46">
        <v>75</v>
      </c>
      <c r="B79" s="47">
        <v>5.7115600000000002E-2</v>
      </c>
      <c r="C79" s="48">
        <v>7.1388900000000002E-3</v>
      </c>
      <c r="D79" s="49">
        <v>1.904695E-2</v>
      </c>
      <c r="E79" s="50">
        <v>0.75866666999999999</v>
      </c>
      <c r="F79" s="49">
        <v>0.70318209264179099</v>
      </c>
      <c r="G79" s="46">
        <v>75</v>
      </c>
      <c r="H79" s="47">
        <v>3.3482100000000001E-2</v>
      </c>
      <c r="I79" s="48">
        <v>1.2534806399999999E-2</v>
      </c>
      <c r="J79" s="49">
        <v>1.99154016E-2</v>
      </c>
      <c r="K79" s="50">
        <v>0.69778879999999999</v>
      </c>
      <c r="L79" s="49">
        <v>0.64675648477611902</v>
      </c>
      <c r="M79" s="46">
        <v>75</v>
      </c>
      <c r="N79" s="75">
        <f t="shared" si="28"/>
        <v>4.0162667130491478E-2</v>
      </c>
      <c r="O79" s="76">
        <f t="shared" si="29"/>
        <v>4.3331702057052002E-2</v>
      </c>
      <c r="P79" s="76">
        <f t="shared" si="30"/>
        <v>2.1654765298922494E-2</v>
      </c>
      <c r="Q79" s="77">
        <f t="shared" si="31"/>
        <v>2.3363434380480001E-2</v>
      </c>
      <c r="R79" s="78">
        <f t="shared" si="32"/>
        <v>2010</v>
      </c>
      <c r="S79" s="79">
        <f t="shared" si="33"/>
        <v>0.73684210526315785</v>
      </c>
      <c r="T79" s="80">
        <f t="shared" si="34"/>
        <v>2.9683345643683058E-2</v>
      </c>
      <c r="U79" s="81">
        <f t="shared" si="35"/>
        <v>3.202550979270153E-2</v>
      </c>
      <c r="V79" s="82">
        <f t="shared" si="36"/>
        <v>1.5390276009254255E-2</v>
      </c>
      <c r="W79" s="81">
        <f t="shared" si="37"/>
        <v>1.6604645613849205E-2</v>
      </c>
      <c r="X79" s="46">
        <v>75</v>
      </c>
      <c r="Y79" s="83">
        <f t="shared" si="38"/>
        <v>9.5392996676361435</v>
      </c>
      <c r="Z79" s="84">
        <f t="shared" si="39"/>
        <v>9.3185093899060796</v>
      </c>
      <c r="AA79" s="83">
        <f t="shared" si="40"/>
        <v>11.227616830454995</v>
      </c>
      <c r="AB79" s="84">
        <f t="shared" si="41"/>
        <v>11.0365879103807</v>
      </c>
    </row>
    <row r="80" spans="1:28">
      <c r="A80" s="46">
        <v>76</v>
      </c>
      <c r="B80" s="47">
        <v>6.3104400000000005E-2</v>
      </c>
      <c r="C80" s="48">
        <v>6.9309599999999999E-3</v>
      </c>
      <c r="D80" s="49">
        <v>1.8708949999999998E-2</v>
      </c>
      <c r="E80" s="50">
        <v>0.76485815999999995</v>
      </c>
      <c r="F80" s="49">
        <v>0.71051898325970098</v>
      </c>
      <c r="G80" s="46">
        <v>76</v>
      </c>
      <c r="H80" s="47">
        <v>3.78743E-2</v>
      </c>
      <c r="I80" s="48">
        <v>1.2217046400000001E-2</v>
      </c>
      <c r="J80" s="49">
        <v>1.9601260799999999E-2</v>
      </c>
      <c r="K80" s="50">
        <v>0.70167875999999996</v>
      </c>
      <c r="L80" s="49">
        <v>0.65182814958806001</v>
      </c>
      <c r="M80" s="46">
        <v>76</v>
      </c>
      <c r="N80" s="75">
        <f t="shared" si="28"/>
        <v>4.4836874127213475E-2</v>
      </c>
      <c r="O80" s="76">
        <f t="shared" si="29"/>
        <v>4.8265915271903999E-2</v>
      </c>
      <c r="P80" s="76">
        <f t="shared" si="30"/>
        <v>2.4687534885943063E-2</v>
      </c>
      <c r="Q80" s="77">
        <f t="shared" si="31"/>
        <v>2.6575591859867999E-2</v>
      </c>
      <c r="R80" s="78">
        <f t="shared" si="32"/>
        <v>2011</v>
      </c>
      <c r="S80" s="79">
        <f t="shared" si="33"/>
        <v>0.7</v>
      </c>
      <c r="T80" s="80">
        <f t="shared" si="34"/>
        <v>3.3099554532851655E-2</v>
      </c>
      <c r="U80" s="81">
        <f t="shared" si="35"/>
        <v>3.5630947199567199E-2</v>
      </c>
      <c r="V80" s="82">
        <f t="shared" si="36"/>
        <v>1.7436723465784083E-2</v>
      </c>
      <c r="W80" s="81">
        <f t="shared" si="37"/>
        <v>1.8770251802820256E-2</v>
      </c>
      <c r="X80" s="46">
        <v>76</v>
      </c>
      <c r="Y80" s="83">
        <f t="shared" si="38"/>
        <v>9.1525499582741183</v>
      </c>
      <c r="Z80" s="84">
        <f t="shared" si="39"/>
        <v>8.9374770234384986</v>
      </c>
      <c r="AA80" s="83">
        <f t="shared" si="40"/>
        <v>10.802982384290539</v>
      </c>
      <c r="AB80" s="84">
        <f t="shared" si="41"/>
        <v>10.614298084936049</v>
      </c>
    </row>
    <row r="81" spans="1:28">
      <c r="A81" s="46">
        <v>77</v>
      </c>
      <c r="B81" s="47">
        <v>6.9707400000000003E-2</v>
      </c>
      <c r="C81" s="48">
        <v>6.7225699999999998E-3</v>
      </c>
      <c r="D81" s="49">
        <v>1.8361619999999999E-2</v>
      </c>
      <c r="E81" s="50">
        <v>0.77108686000000004</v>
      </c>
      <c r="F81" s="49">
        <v>0.71791639293731302</v>
      </c>
      <c r="G81" s="46">
        <v>77</v>
      </c>
      <c r="H81" s="47">
        <v>4.2909799999999998E-2</v>
      </c>
      <c r="I81" s="48">
        <v>1.18970016E-2</v>
      </c>
      <c r="J81" s="49">
        <v>1.9282857600000002E-2</v>
      </c>
      <c r="K81" s="50">
        <v>0.70584164000000005</v>
      </c>
      <c r="L81" s="49">
        <v>0.65717017168955205</v>
      </c>
      <c r="M81" s="46">
        <v>77</v>
      </c>
      <c r="N81" s="75">
        <f t="shared" si="28"/>
        <v>5.0044085169038459E-2</v>
      </c>
      <c r="O81" s="76">
        <f t="shared" si="29"/>
        <v>5.3750460184764003E-2</v>
      </c>
      <c r="P81" s="76">
        <f t="shared" si="30"/>
        <v>2.8199040633164339E-2</v>
      </c>
      <c r="Q81" s="77">
        <f t="shared" si="31"/>
        <v>3.0287523604072001E-2</v>
      </c>
      <c r="R81" s="78">
        <f t="shared" si="32"/>
        <v>2012</v>
      </c>
      <c r="S81" s="79">
        <f t="shared" si="33"/>
        <v>0.66666666666666663</v>
      </c>
      <c r="T81" s="80">
        <f t="shared" si="34"/>
        <v>3.6921116503605814E-2</v>
      </c>
      <c r="U81" s="81">
        <f t="shared" si="35"/>
        <v>3.9655575597011716E-2</v>
      </c>
      <c r="V81" s="82">
        <f t="shared" si="36"/>
        <v>1.9807267972492174E-2</v>
      </c>
      <c r="W81" s="81">
        <f t="shared" si="37"/>
        <v>2.1274237803093555E-2</v>
      </c>
      <c r="X81" s="46">
        <v>77</v>
      </c>
      <c r="Y81" s="83">
        <f t="shared" si="38"/>
        <v>8.7688985938037369</v>
      </c>
      <c r="Z81" s="84">
        <f t="shared" si="39"/>
        <v>8.5599761630720117</v>
      </c>
      <c r="AA81" s="83">
        <f t="shared" si="40"/>
        <v>10.376025568168215</v>
      </c>
      <c r="AB81" s="84">
        <f t="shared" si="41"/>
        <v>10.190141530772467</v>
      </c>
    </row>
    <row r="82" spans="1:28">
      <c r="A82" s="46">
        <v>78</v>
      </c>
      <c r="B82" s="47">
        <v>7.6987799999999995E-2</v>
      </c>
      <c r="C82" s="48">
        <v>6.5137800000000003E-3</v>
      </c>
      <c r="D82" s="49">
        <v>1.800473E-2</v>
      </c>
      <c r="E82" s="50">
        <v>0.77735314</v>
      </c>
      <c r="F82" s="49">
        <v>0.725374900191045</v>
      </c>
      <c r="G82" s="46">
        <v>78</v>
      </c>
      <c r="H82" s="47">
        <v>4.8681299999999997E-2</v>
      </c>
      <c r="I82" s="48">
        <v>1.1574671999999999E-2</v>
      </c>
      <c r="J82" s="49">
        <v>1.89600768E-2</v>
      </c>
      <c r="K82" s="50">
        <v>0.71028066000000001</v>
      </c>
      <c r="L82" s="49">
        <v>0.66278726661492504</v>
      </c>
      <c r="M82" s="46">
        <v>78</v>
      </c>
      <c r="N82" s="75">
        <f t="shared" si="28"/>
        <v>5.5845017740928128E-2</v>
      </c>
      <c r="O82" s="76">
        <f t="shared" si="29"/>
        <v>5.9846708071691998E-2</v>
      </c>
      <c r="P82" s="76">
        <f t="shared" si="30"/>
        <v>3.2265345762261151E-2</v>
      </c>
      <c r="Q82" s="77">
        <f t="shared" si="31"/>
        <v>3.4577385893657997E-2</v>
      </c>
      <c r="R82" s="78">
        <f t="shared" si="32"/>
        <v>2013</v>
      </c>
      <c r="S82" s="79">
        <f t="shared" si="33"/>
        <v>0.63636363636363635</v>
      </c>
      <c r="T82" s="80">
        <f t="shared" si="34"/>
        <v>4.1198582633917111E-2</v>
      </c>
      <c r="U82" s="81">
        <f t="shared" si="35"/>
        <v>4.4150752342809435E-2</v>
      </c>
      <c r="V82" s="82">
        <f t="shared" si="36"/>
        <v>2.2554967195944114E-2</v>
      </c>
      <c r="W82" s="81">
        <f t="shared" si="37"/>
        <v>2.4171190053235064E-2</v>
      </c>
      <c r="X82" s="46">
        <v>78</v>
      </c>
      <c r="Y82" s="83">
        <f t="shared" si="38"/>
        <v>8.3894005735264763</v>
      </c>
      <c r="Z82" s="84">
        <f t="shared" si="39"/>
        <v>8.1870368690718962</v>
      </c>
      <c r="AA82" s="83">
        <f t="shared" si="40"/>
        <v>9.948111501219838</v>
      </c>
      <c r="AB82" s="84">
        <f t="shared" si="41"/>
        <v>9.7655007778169391</v>
      </c>
    </row>
    <row r="83" spans="1:28">
      <c r="A83" s="46">
        <v>79</v>
      </c>
      <c r="B83" s="47">
        <v>8.5045200000000001E-2</v>
      </c>
      <c r="C83" s="48">
        <v>6.3046500000000002E-3</v>
      </c>
      <c r="D83" s="49">
        <v>1.7638029999999999E-2</v>
      </c>
      <c r="E83" s="50">
        <v>0.78365739999999995</v>
      </c>
      <c r="F83" s="49">
        <v>0.73289511468656698</v>
      </c>
      <c r="G83" s="46">
        <v>79</v>
      </c>
      <c r="H83" s="47">
        <v>5.5294000000000003E-2</v>
      </c>
      <c r="I83" s="48">
        <v>1.1250038400000001E-2</v>
      </c>
      <c r="J83" s="49">
        <v>1.8632822399999999E-2</v>
      </c>
      <c r="K83" s="50">
        <v>0.71499904000000003</v>
      </c>
      <c r="L83" s="49">
        <v>0.66868417681194003</v>
      </c>
      <c r="M83" s="46">
        <v>79</v>
      </c>
      <c r="N83" s="75">
        <f t="shared" si="28"/>
        <v>6.2329211607542026E-2</v>
      </c>
      <c r="O83" s="76">
        <f t="shared" si="29"/>
        <v>6.6646300314480003E-2</v>
      </c>
      <c r="P83" s="76">
        <f t="shared" si="30"/>
        <v>3.6974222872639413E-2</v>
      </c>
      <c r="Q83" s="77">
        <f t="shared" si="31"/>
        <v>3.9535156917760002E-2</v>
      </c>
      <c r="R83" s="78">
        <f t="shared" si="32"/>
        <v>2014</v>
      </c>
      <c r="S83" s="79">
        <f t="shared" si="33"/>
        <v>0.60869565217391308</v>
      </c>
      <c r="T83" s="80">
        <f t="shared" si="34"/>
        <v>4.6005268937859028E-2</v>
      </c>
      <c r="U83" s="81">
        <f t="shared" si="35"/>
        <v>4.9191717504573185E-2</v>
      </c>
      <c r="V83" s="82">
        <f t="shared" si="36"/>
        <v>2.574167133610672E-2</v>
      </c>
      <c r="W83" s="81">
        <f t="shared" si="37"/>
        <v>2.7524608674100719E-2</v>
      </c>
      <c r="X83" s="46">
        <v>79</v>
      </c>
      <c r="Y83" s="83">
        <f t="shared" si="38"/>
        <v>8.0151911097283151</v>
      </c>
      <c r="Z83" s="84">
        <f t="shared" si="39"/>
        <v>7.8197669372602396</v>
      </c>
      <c r="AA83" s="83">
        <f t="shared" si="40"/>
        <v>9.5207767689727199</v>
      </c>
      <c r="AB83" s="84">
        <f t="shared" si="41"/>
        <v>9.3419262846184417</v>
      </c>
    </row>
    <row r="84" spans="1:28">
      <c r="A84" s="46">
        <v>80</v>
      </c>
      <c r="B84" s="47">
        <v>9.39633E-2</v>
      </c>
      <c r="C84" s="48">
        <v>6.09524E-3</v>
      </c>
      <c r="D84" s="49">
        <v>1.7261289999999999E-2</v>
      </c>
      <c r="E84" s="50">
        <v>0.79</v>
      </c>
      <c r="F84" s="49">
        <v>0.74047761194029804</v>
      </c>
      <c r="G84" s="46">
        <v>80</v>
      </c>
      <c r="H84" s="47">
        <v>6.28663E-2</v>
      </c>
      <c r="I84" s="48">
        <v>1.09230912E-2</v>
      </c>
      <c r="J84" s="49">
        <v>1.8300969600000001E-2</v>
      </c>
      <c r="K84" s="50">
        <v>0.72</v>
      </c>
      <c r="L84" s="49">
        <v>0.67486567164179101</v>
      </c>
      <c r="M84" s="46">
        <v>80</v>
      </c>
      <c r="N84" s="75">
        <f t="shared" si="28"/>
        <v>6.9577719994029813E-2</v>
      </c>
      <c r="O84" s="76">
        <f t="shared" si="29"/>
        <v>7.4231007000000002E-2</v>
      </c>
      <c r="P84" s="76">
        <f t="shared" si="30"/>
        <v>4.2426307773134324E-2</v>
      </c>
      <c r="Q84" s="77">
        <f t="shared" si="31"/>
        <v>4.5263735999999999E-2</v>
      </c>
      <c r="R84" s="78">
        <f t="shared" si="32"/>
        <v>2015</v>
      </c>
      <c r="S84" s="79">
        <f t="shared" si="33"/>
        <v>0.58333333333333337</v>
      </c>
      <c r="T84" s="80">
        <f t="shared" si="34"/>
        <v>5.1410063491229868E-2</v>
      </c>
      <c r="U84" s="81">
        <f t="shared" si="35"/>
        <v>5.4848316145101959E-2</v>
      </c>
      <c r="V84" s="82">
        <f t="shared" si="36"/>
        <v>2.9439112571515529E-2</v>
      </c>
      <c r="W84" s="81">
        <f t="shared" si="37"/>
        <v>3.1407970418655104E-2</v>
      </c>
      <c r="X84" s="46">
        <v>80</v>
      </c>
      <c r="Y84" s="83">
        <f t="shared" si="38"/>
        <v>7.6476300304034037</v>
      </c>
      <c r="Z84" s="84">
        <f t="shared" si="39"/>
        <v>7.4595033986620365</v>
      </c>
      <c r="AA84" s="83">
        <f t="shared" si="40"/>
        <v>9.0957475846108693</v>
      </c>
      <c r="AB84" s="84">
        <f t="shared" si="41"/>
        <v>8.921154626005114</v>
      </c>
    </row>
    <row r="85" spans="1:28">
      <c r="A85" s="46">
        <v>81</v>
      </c>
      <c r="B85" s="47">
        <v>0.1038265</v>
      </c>
      <c r="C85" s="48">
        <v>5.8856200000000003E-3</v>
      </c>
      <c r="D85" s="49">
        <v>1.687429E-2</v>
      </c>
      <c r="E85" s="50">
        <v>0.79638133</v>
      </c>
      <c r="F85" s="49">
        <v>0.748122998659701</v>
      </c>
      <c r="G85" s="46">
        <v>81</v>
      </c>
      <c r="H85" s="47">
        <v>7.1531399999999995E-2</v>
      </c>
      <c r="I85" s="48">
        <v>1.0593820800000001E-2</v>
      </c>
      <c r="J85" s="49">
        <v>1.7964412799999999E-2</v>
      </c>
      <c r="K85" s="50">
        <v>0.72528676000000003</v>
      </c>
      <c r="L85" s="49">
        <v>0.68133654737910399</v>
      </c>
      <c r="M85" s="46">
        <v>81</v>
      </c>
      <c r="N85" s="75">
        <f t="shared" si="28"/>
        <v>7.7674992520341449E-2</v>
      </c>
      <c r="O85" s="76">
        <f t="shared" si="29"/>
        <v>8.2685486159244995E-2</v>
      </c>
      <c r="P85" s="76">
        <f t="shared" si="30"/>
        <v>4.8736957105193636E-2</v>
      </c>
      <c r="Q85" s="77">
        <f t="shared" si="31"/>
        <v>5.1880777344263995E-2</v>
      </c>
      <c r="R85" s="78">
        <f t="shared" si="32"/>
        <v>2016</v>
      </c>
      <c r="S85" s="79">
        <f t="shared" si="33"/>
        <v>0.56000000000000005</v>
      </c>
      <c r="T85" s="80">
        <f t="shared" si="34"/>
        <v>5.7486577109911355E-2</v>
      </c>
      <c r="U85" s="81">
        <f t="shared" si="35"/>
        <v>6.1194799274929497E-2</v>
      </c>
      <c r="V85" s="82">
        <f t="shared" si="36"/>
        <v>3.3730545014188422E-2</v>
      </c>
      <c r="W85" s="81">
        <f t="shared" si="37"/>
        <v>3.5906363456476423E-2</v>
      </c>
      <c r="X85" s="46">
        <v>81</v>
      </c>
      <c r="Y85" s="83">
        <f t="shared" si="38"/>
        <v>7.2882232517291969</v>
      </c>
      <c r="Z85" s="84">
        <f t="shared" si="39"/>
        <v>7.1077305890298392</v>
      </c>
      <c r="AA85" s="83">
        <f t="shared" si="40"/>
        <v>8.6749606305515776</v>
      </c>
      <c r="AB85" s="84">
        <f t="shared" si="41"/>
        <v>8.5051296721964924</v>
      </c>
    </row>
    <row r="86" spans="1:28">
      <c r="A86" s="46">
        <v>82</v>
      </c>
      <c r="B86" s="47">
        <v>0.1147278</v>
      </c>
      <c r="C86" s="48">
        <v>5.6758499999999996E-3</v>
      </c>
      <c r="D86" s="49">
        <v>1.6476790000000002E-2</v>
      </c>
      <c r="E86" s="50">
        <v>0.80280178000000002</v>
      </c>
      <c r="F86" s="49">
        <v>0.75583188481193997</v>
      </c>
      <c r="G86" s="46">
        <v>82</v>
      </c>
      <c r="H86" s="47">
        <v>8.1441399999999997E-2</v>
      </c>
      <c r="I86" s="48">
        <v>1.02622272E-2</v>
      </c>
      <c r="J86" s="49">
        <v>1.7623046400000002E-2</v>
      </c>
      <c r="K86" s="50">
        <v>0.73086253999999995</v>
      </c>
      <c r="L86" s="49">
        <v>0.68810162721194001</v>
      </c>
      <c r="M86" s="46">
        <v>82</v>
      </c>
      <c r="N86" s="75">
        <f t="shared" si="28"/>
        <v>8.6714929314327296E-2</v>
      </c>
      <c r="O86" s="76">
        <f t="shared" si="29"/>
        <v>9.2103682055484012E-2</v>
      </c>
      <c r="P86" s="76">
        <f t="shared" si="30"/>
        <v>5.6039959862418491E-2</v>
      </c>
      <c r="Q86" s="77">
        <f t="shared" si="31"/>
        <v>5.9522468465155992E-2</v>
      </c>
      <c r="R86" s="78">
        <f t="shared" si="32"/>
        <v>2017</v>
      </c>
      <c r="S86" s="79">
        <f t="shared" si="33"/>
        <v>0.53846153846153844</v>
      </c>
      <c r="T86" s="80">
        <f t="shared" si="34"/>
        <v>6.4318081953597631E-2</v>
      </c>
      <c r="U86" s="81">
        <f t="shared" si="35"/>
        <v>6.8315020464347551E-2</v>
      </c>
      <c r="V86" s="82">
        <f t="shared" si="36"/>
        <v>3.8713780783147814E-2</v>
      </c>
      <c r="W86" s="81">
        <f t="shared" si="37"/>
        <v>4.1119583266818388E-2</v>
      </c>
      <c r="X86" s="46">
        <v>82</v>
      </c>
      <c r="Y86" s="83">
        <f t="shared" si="38"/>
        <v>6.9386302868187375</v>
      </c>
      <c r="Z86" s="84">
        <f t="shared" si="39"/>
        <v>6.7660892884755457</v>
      </c>
      <c r="AA86" s="83">
        <f t="shared" si="40"/>
        <v>8.2605933723640739</v>
      </c>
      <c r="AB86" s="84">
        <f t="shared" si="41"/>
        <v>8.0960339983864049</v>
      </c>
    </row>
    <row r="87" spans="1:28">
      <c r="A87" s="46">
        <v>83</v>
      </c>
      <c r="B87" s="47">
        <v>0.1267711</v>
      </c>
      <c r="C87" s="48">
        <v>5.4660000000000004E-3</v>
      </c>
      <c r="D87" s="49">
        <v>1.6068559999999999E-2</v>
      </c>
      <c r="E87" s="50">
        <v>0.80926171000000002</v>
      </c>
      <c r="F87" s="49">
        <v>0.76360485531641797</v>
      </c>
      <c r="G87" s="46">
        <v>83</v>
      </c>
      <c r="H87" s="47">
        <v>9.2770599999999995E-2</v>
      </c>
      <c r="I87" s="48">
        <v>9.9282911999999997E-3</v>
      </c>
      <c r="J87" s="49">
        <v>1.72767552E-2</v>
      </c>
      <c r="K87" s="50">
        <v>0.73673056000000003</v>
      </c>
      <c r="L87" s="49">
        <v>0.69516576124179097</v>
      </c>
      <c r="M87" s="46">
        <v>83</v>
      </c>
      <c r="N87" s="75">
        <f t="shared" si="28"/>
        <v>9.6803027473803149E-2</v>
      </c>
      <c r="O87" s="76">
        <f t="shared" si="29"/>
        <v>0.102590997164581</v>
      </c>
      <c r="P87" s="76">
        <f t="shared" si="30"/>
        <v>6.4490944769857686E-2</v>
      </c>
      <c r="Q87" s="77">
        <f t="shared" si="31"/>
        <v>6.8346936089536001E-2</v>
      </c>
      <c r="R87" s="78">
        <f t="shared" si="32"/>
        <v>2018</v>
      </c>
      <c r="S87" s="79">
        <f t="shared" si="33"/>
        <v>0.51851851851851849</v>
      </c>
      <c r="T87" s="80">
        <f t="shared" si="34"/>
        <v>7.1999590345157502E-2</v>
      </c>
      <c r="U87" s="81">
        <f t="shared" si="35"/>
        <v>7.630453263406442E-2</v>
      </c>
      <c r="V87" s="82">
        <f t="shared" si="36"/>
        <v>4.450415094037731E-2</v>
      </c>
      <c r="W87" s="81">
        <f t="shared" si="37"/>
        <v>4.7165107766613104E-2</v>
      </c>
      <c r="X87" s="46">
        <v>83</v>
      </c>
      <c r="Y87" s="83">
        <f t="shared" si="38"/>
        <v>6.6007212271309479</v>
      </c>
      <c r="Z87" s="84">
        <f t="shared" si="39"/>
        <v>6.4364382723045646</v>
      </c>
      <c r="AA87" s="83">
        <f t="shared" si="40"/>
        <v>7.8551184405934347</v>
      </c>
      <c r="AB87" s="84">
        <f t="shared" si="41"/>
        <v>7.69634589416731</v>
      </c>
    </row>
    <row r="88" spans="1:28">
      <c r="A88" s="46">
        <v>84</v>
      </c>
      <c r="B88" s="47">
        <v>0.13932430000000001</v>
      </c>
      <c r="C88" s="48">
        <v>5.2561300000000004E-3</v>
      </c>
      <c r="D88" s="49">
        <v>1.5649360000000001E-2</v>
      </c>
      <c r="E88" s="50">
        <v>0.81576152000000002</v>
      </c>
      <c r="F88" s="49">
        <v>0.77144253592835799</v>
      </c>
      <c r="G88" s="46">
        <v>84</v>
      </c>
      <c r="H88" s="47">
        <v>0.1057192</v>
      </c>
      <c r="I88" s="48">
        <v>9.5919935999999994E-3</v>
      </c>
      <c r="J88" s="49">
        <v>1.6925433600000001E-2</v>
      </c>
      <c r="K88" s="50">
        <v>0.74289402999999998</v>
      </c>
      <c r="L88" s="49">
        <v>0.70253381702686601</v>
      </c>
      <c r="M88" s="46">
        <v>84</v>
      </c>
      <c r="N88" s="75">
        <f t="shared" si="28"/>
        <v>0.10748069130844333</v>
      </c>
      <c r="O88" s="76">
        <f t="shared" si="29"/>
        <v>0.11365540274093601</v>
      </c>
      <c r="P88" s="76">
        <f t="shared" si="30"/>
        <v>7.4271313109026654E-2</v>
      </c>
      <c r="Q88" s="77">
        <f t="shared" si="31"/>
        <v>7.8538162536375994E-2</v>
      </c>
      <c r="R88" s="78">
        <f t="shared" si="32"/>
        <v>2019</v>
      </c>
      <c r="S88" s="79">
        <f t="shared" si="33"/>
        <v>0.5</v>
      </c>
      <c r="T88" s="80">
        <f t="shared" si="34"/>
        <v>8.0208889926999719E-2</v>
      </c>
      <c r="U88" s="81">
        <f t="shared" si="35"/>
        <v>8.4816850143765513E-2</v>
      </c>
      <c r="V88" s="82">
        <f t="shared" si="36"/>
        <v>5.1237967037175799E-2</v>
      </c>
      <c r="W88" s="81">
        <f t="shared" si="37"/>
        <v>5.4181562365700389E-2</v>
      </c>
      <c r="X88" s="46">
        <v>84</v>
      </c>
      <c r="Y88" s="83">
        <f t="shared" si="38"/>
        <v>6.2766675699880619</v>
      </c>
      <c r="Z88" s="84">
        <f t="shared" si="39"/>
        <v>6.1209522001008949</v>
      </c>
      <c r="AA88" s="83">
        <f t="shared" si="40"/>
        <v>7.461385818927095</v>
      </c>
      <c r="AB88" s="84">
        <f t="shared" si="41"/>
        <v>7.3089260129951201</v>
      </c>
    </row>
    <row r="89" spans="1:28">
      <c r="A89" s="46">
        <v>85</v>
      </c>
      <c r="B89" s="47">
        <v>0.15152160000000001</v>
      </c>
      <c r="C89" s="48">
        <v>5.0463000000000001E-3</v>
      </c>
      <c r="D89" s="49">
        <v>1.521896E-2</v>
      </c>
      <c r="E89" s="50">
        <v>0.82230159000000003</v>
      </c>
      <c r="F89" s="49">
        <v>0.77934553679104501</v>
      </c>
      <c r="G89" s="46">
        <v>85</v>
      </c>
      <c r="H89" s="47">
        <v>0.1195473</v>
      </c>
      <c r="I89" s="48">
        <v>9.2533440000000002E-3</v>
      </c>
      <c r="J89" s="49">
        <v>1.6568975999999999E-2</v>
      </c>
      <c r="K89" s="50">
        <v>0.74935618999999998</v>
      </c>
      <c r="L89" s="49">
        <v>0.71021071738805996</v>
      </c>
      <c r="M89" s="46">
        <v>85</v>
      </c>
      <c r="N89" s="75">
        <f t="shared" si="28"/>
        <v>0.11808768268743801</v>
      </c>
      <c r="O89" s="76">
        <f t="shared" si="29"/>
        <v>0.12459645259934402</v>
      </c>
      <c r="P89" s="76">
        <f t="shared" si="30"/>
        <v>8.4903773694805618E-2</v>
      </c>
      <c r="Q89" s="77">
        <f t="shared" si="31"/>
        <v>8.9583509252786991E-2</v>
      </c>
      <c r="R89" s="78">
        <f t="shared" si="32"/>
        <v>2020</v>
      </c>
      <c r="S89" s="79">
        <f t="shared" si="33"/>
        <v>0.48275862068965519</v>
      </c>
      <c r="T89" s="80">
        <f t="shared" si="34"/>
        <v>8.8470351284121562E-2</v>
      </c>
      <c r="U89" s="81">
        <f t="shared" si="35"/>
        <v>9.3346669858836898E-2</v>
      </c>
      <c r="V89" s="82">
        <f t="shared" si="36"/>
        <v>5.8601056007802146E-2</v>
      </c>
      <c r="W89" s="81">
        <f t="shared" si="37"/>
        <v>6.1831035472799091E-2</v>
      </c>
      <c r="X89" s="46">
        <v>85</v>
      </c>
      <c r="Y89" s="83">
        <f t="shared" si="38"/>
        <v>5.9662832274515516</v>
      </c>
      <c r="Z89" s="84">
        <f t="shared" si="39"/>
        <v>5.8193710067122142</v>
      </c>
      <c r="AA89" s="83">
        <f t="shared" si="40"/>
        <v>7.0827467986880182</v>
      </c>
      <c r="AB89" s="84">
        <f t="shared" si="41"/>
        <v>6.937148603199299</v>
      </c>
    </row>
    <row r="90" spans="1:28">
      <c r="A90" s="46">
        <v>86</v>
      </c>
      <c r="B90" s="47">
        <v>0.16388620000000001</v>
      </c>
      <c r="C90" s="48">
        <v>4.8365700000000001E-3</v>
      </c>
      <c r="D90" s="49">
        <v>1.4777139999999999E-2</v>
      </c>
      <c r="E90" s="50">
        <v>0.82888229000000002</v>
      </c>
      <c r="F90" s="49">
        <v>0.787314461725373</v>
      </c>
      <c r="G90" s="46">
        <v>86</v>
      </c>
      <c r="H90" s="47">
        <v>0.1333896</v>
      </c>
      <c r="I90" s="48">
        <v>8.9123135999999992E-3</v>
      </c>
      <c r="J90" s="49">
        <v>1.62072576E-2</v>
      </c>
      <c r="K90" s="50">
        <v>0.75611914000000002</v>
      </c>
      <c r="L90" s="49">
        <v>0.71820032939701495</v>
      </c>
      <c r="M90" s="46">
        <v>86</v>
      </c>
      <c r="N90" s="75">
        <f t="shared" si="28"/>
        <v>0.12902997533721683</v>
      </c>
      <c r="O90" s="76">
        <f t="shared" si="29"/>
        <v>0.13584236875539801</v>
      </c>
      <c r="P90" s="76">
        <f t="shared" si="30"/>
        <v>9.5800454658136067E-2</v>
      </c>
      <c r="Q90" s="77">
        <f t="shared" si="31"/>
        <v>0.100858429636944</v>
      </c>
      <c r="R90" s="78">
        <f t="shared" si="32"/>
        <v>2021</v>
      </c>
      <c r="S90" s="79">
        <f t="shared" si="33"/>
        <v>0.46666666666666667</v>
      </c>
      <c r="T90" s="80">
        <f t="shared" si="34"/>
        <v>9.7103717935654907E-2</v>
      </c>
      <c r="U90" s="81">
        <f t="shared" si="35"/>
        <v>0.10223050128360905</v>
      </c>
      <c r="V90" s="82">
        <f t="shared" si="36"/>
        <v>6.6205848626650049E-2</v>
      </c>
      <c r="W90" s="81">
        <f t="shared" si="37"/>
        <v>6.970131769304766E-2</v>
      </c>
      <c r="X90" s="46">
        <v>86</v>
      </c>
      <c r="Y90" s="83">
        <f t="shared" si="38"/>
        <v>5.6662277127526677</v>
      </c>
      <c r="Z90" s="84">
        <f t="shared" si="39"/>
        <v>5.5281833533885845</v>
      </c>
      <c r="AA90" s="83">
        <f t="shared" si="40"/>
        <v>6.7198467886617568</v>
      </c>
      <c r="AB90" s="84">
        <f t="shared" si="41"/>
        <v>6.5815804836808232</v>
      </c>
    </row>
    <row r="91" spans="1:28">
      <c r="A91" s="46">
        <v>87</v>
      </c>
      <c r="B91" s="47">
        <v>0.17674709999999999</v>
      </c>
      <c r="C91" s="48">
        <v>4.6270199999999999E-3</v>
      </c>
      <c r="D91" s="49">
        <v>1.432365E-2</v>
      </c>
      <c r="E91" s="50">
        <v>0.83550400000000002</v>
      </c>
      <c r="F91" s="49">
        <v>0.79534992716417896</v>
      </c>
      <c r="G91" s="46">
        <v>87</v>
      </c>
      <c r="H91" s="47">
        <v>0.1474734</v>
      </c>
      <c r="I91" s="48">
        <v>8.5689023999999999E-3</v>
      </c>
      <c r="J91" s="49">
        <v>1.58401824E-2</v>
      </c>
      <c r="K91" s="50">
        <v>0.76318052000000003</v>
      </c>
      <c r="L91" s="49">
        <v>0.72650229202388095</v>
      </c>
      <c r="M91" s="46">
        <v>87</v>
      </c>
      <c r="N91" s="75">
        <f t="shared" si="28"/>
        <v>0.14057579311147986</v>
      </c>
      <c r="O91" s="76">
        <f t="shared" si="29"/>
        <v>0.1476729090384</v>
      </c>
      <c r="P91" s="76">
        <f t="shared" si="30"/>
        <v>0.1071397631125546</v>
      </c>
      <c r="Q91" s="77">
        <f t="shared" si="31"/>
        <v>0.11254882609816801</v>
      </c>
      <c r="R91" s="78">
        <f t="shared" si="32"/>
        <v>2022</v>
      </c>
      <c r="S91" s="79">
        <f t="shared" si="33"/>
        <v>0.45161290322580644</v>
      </c>
      <c r="T91" s="80">
        <f t="shared" si="34"/>
        <v>0.10633094532141496</v>
      </c>
      <c r="U91" s="81">
        <f t="shared" si="35"/>
        <v>0.11169917429499535</v>
      </c>
      <c r="V91" s="82">
        <f t="shared" si="36"/>
        <v>7.4195261358567563E-2</v>
      </c>
      <c r="W91" s="81">
        <f t="shared" si="37"/>
        <v>7.7941086720351591E-2</v>
      </c>
      <c r="X91" s="46">
        <v>87</v>
      </c>
      <c r="Y91" s="83">
        <f t="shared" si="38"/>
        <v>5.3747887965241761</v>
      </c>
      <c r="Z91" s="84">
        <f t="shared" si="39"/>
        <v>5.2455677033552455</v>
      </c>
      <c r="AA91" s="83">
        <f t="shared" si="40"/>
        <v>6.3703982847391378</v>
      </c>
      <c r="AB91" s="84">
        <f t="shared" si="41"/>
        <v>6.2397634366558696</v>
      </c>
    </row>
    <row r="92" spans="1:28">
      <c r="A92" s="46">
        <v>88</v>
      </c>
      <c r="B92" s="47">
        <v>0.1903175</v>
      </c>
      <c r="C92" s="48">
        <v>4.4176900000000002E-3</v>
      </c>
      <c r="D92" s="49">
        <v>1.3858260000000001E-2</v>
      </c>
      <c r="E92" s="50">
        <v>0.84216711</v>
      </c>
      <c r="F92" s="49">
        <v>0.80345256225671602</v>
      </c>
      <c r="G92" s="46">
        <v>88</v>
      </c>
      <c r="H92" s="47">
        <v>0.16205539999999999</v>
      </c>
      <c r="I92" s="48">
        <v>8.2230911999999993E-3</v>
      </c>
      <c r="J92" s="49">
        <v>1.5467644799999999E-2</v>
      </c>
      <c r="K92" s="50">
        <v>0.77053687999999998</v>
      </c>
      <c r="L92" s="49">
        <v>0.73511518462089598</v>
      </c>
      <c r="M92" s="46">
        <v>88</v>
      </c>
      <c r="N92" s="75">
        <f t="shared" si="28"/>
        <v>0.15291108301729256</v>
      </c>
      <c r="O92" s="76">
        <f t="shared" si="29"/>
        <v>0.16027913895742499</v>
      </c>
      <c r="P92" s="76">
        <f t="shared" si="30"/>
        <v>0.11912938528981314</v>
      </c>
      <c r="Q92" s="77">
        <f t="shared" si="31"/>
        <v>0.12486966230315198</v>
      </c>
      <c r="R92" s="78">
        <f t="shared" si="32"/>
        <v>2023</v>
      </c>
      <c r="S92" s="79">
        <f t="shared" si="33"/>
        <v>0.4375</v>
      </c>
      <c r="T92" s="80">
        <f t="shared" si="34"/>
        <v>0.1163173853791744</v>
      </c>
      <c r="U92" s="81">
        <f t="shared" si="35"/>
        <v>0.1219221655257304</v>
      </c>
      <c r="V92" s="82">
        <f t="shared" si="36"/>
        <v>8.2735395148209503E-2</v>
      </c>
      <c r="W92" s="81">
        <f t="shared" si="37"/>
        <v>8.6722019319931676E-2</v>
      </c>
      <c r="X92" s="46">
        <v>88</v>
      </c>
      <c r="Y92" s="83">
        <f t="shared" si="38"/>
        <v>5.0911244207974811</v>
      </c>
      <c r="Z92" s="84">
        <f t="shared" si="39"/>
        <v>4.9706026198784157</v>
      </c>
      <c r="AA92" s="83">
        <f t="shared" si="40"/>
        <v>6.0328209427019122</v>
      </c>
      <c r="AB92" s="84">
        <f t="shared" si="41"/>
        <v>5.9099845960378321</v>
      </c>
    </row>
    <row r="93" spans="1:28">
      <c r="A93" s="46">
        <v>89</v>
      </c>
      <c r="B93" s="47">
        <v>0.20507410000000001</v>
      </c>
      <c r="C93" s="48">
        <v>4.2086700000000003E-3</v>
      </c>
      <c r="D93" s="49">
        <v>1.338074E-2</v>
      </c>
      <c r="E93" s="50">
        <v>0.84887199999999996</v>
      </c>
      <c r="F93" s="49">
        <v>0.81162298985074599</v>
      </c>
      <c r="G93" s="46">
        <v>89</v>
      </c>
      <c r="H93" s="47">
        <v>0.17731079999999999</v>
      </c>
      <c r="I93" s="48">
        <v>7.8748800000000008E-3</v>
      </c>
      <c r="J93" s="49">
        <v>1.508952E-2</v>
      </c>
      <c r="K93" s="50">
        <v>0.77818476000000003</v>
      </c>
      <c r="L93" s="49">
        <v>0.74403754814328404</v>
      </c>
      <c r="M93" s="46">
        <v>89</v>
      </c>
      <c r="N93" s="75">
        <f t="shared" si="28"/>
        <v>0.16644285418295088</v>
      </c>
      <c r="O93" s="76">
        <f t="shared" si="29"/>
        <v>0.17408166141520001</v>
      </c>
      <c r="P93" s="76">
        <f t="shared" si="30"/>
        <v>0.1319258928913242</v>
      </c>
      <c r="Q93" s="77">
        <f t="shared" si="31"/>
        <v>0.137980562343408</v>
      </c>
      <c r="R93" s="78">
        <f t="shared" si="32"/>
        <v>2024</v>
      </c>
      <c r="S93" s="79">
        <f t="shared" si="33"/>
        <v>0.42424242424242425</v>
      </c>
      <c r="T93" s="80">
        <f t="shared" si="34"/>
        <v>0.12740321042479819</v>
      </c>
      <c r="U93" s="81">
        <f t="shared" si="35"/>
        <v>0.13325031374432533</v>
      </c>
      <c r="V93" s="82">
        <f t="shared" si="36"/>
        <v>9.1960979153691336E-2</v>
      </c>
      <c r="W93" s="81">
        <f t="shared" si="37"/>
        <v>9.6181479914101101E-2</v>
      </c>
      <c r="X93" s="46">
        <v>89</v>
      </c>
      <c r="Y93" s="83">
        <f t="shared" si="38"/>
        <v>4.8148162329243469</v>
      </c>
      <c r="Z93" s="84">
        <f t="shared" si="39"/>
        <v>4.7028026019424107</v>
      </c>
      <c r="AA93" s="83">
        <f t="shared" si="40"/>
        <v>5.7062419641230013</v>
      </c>
      <c r="AB93" s="84">
        <f t="shared" si="41"/>
        <v>5.591270224293484</v>
      </c>
    </row>
    <row r="94" spans="1:28">
      <c r="A94" s="46">
        <v>90</v>
      </c>
      <c r="B94" s="47">
        <v>0.2213</v>
      </c>
      <c r="C94" s="48">
        <v>4.0000000000000001E-3</v>
      </c>
      <c r="D94" s="49">
        <v>1.289087E-2</v>
      </c>
      <c r="E94" s="50">
        <v>0.85561905000000005</v>
      </c>
      <c r="F94" s="49">
        <v>0.81986183597014906</v>
      </c>
      <c r="G94" s="46">
        <v>90</v>
      </c>
      <c r="H94" s="47">
        <v>0.1935492</v>
      </c>
      <c r="I94" s="48">
        <v>7.5242592000000002E-3</v>
      </c>
      <c r="J94" s="49">
        <v>1.4705702399999999E-2</v>
      </c>
      <c r="K94" s="50">
        <v>0.78612068999999996</v>
      </c>
      <c r="L94" s="49">
        <v>0.75326788504477604</v>
      </c>
      <c r="M94" s="46">
        <v>90</v>
      </c>
      <c r="N94" s="75">
        <f t="shared" si="28"/>
        <v>0.18143542430019399</v>
      </c>
      <c r="O94" s="76">
        <f t="shared" si="29"/>
        <v>0.18934849576500001</v>
      </c>
      <c r="P94" s="76">
        <f t="shared" si="30"/>
        <v>0.14579439653610837</v>
      </c>
      <c r="Q94" s="77">
        <f t="shared" si="31"/>
        <v>0.152153030652948</v>
      </c>
      <c r="R94" s="78">
        <f t="shared" si="32"/>
        <v>2025</v>
      </c>
      <c r="S94" s="79">
        <f t="shared" si="33"/>
        <v>0.41176470588235292</v>
      </c>
      <c r="T94" s="80">
        <f t="shared" si="34"/>
        <v>0.13983003109324313</v>
      </c>
      <c r="U94" s="81">
        <f t="shared" si="35"/>
        <v>0.14592853712223197</v>
      </c>
      <c r="V94" s="82">
        <f t="shared" si="36"/>
        <v>0.10208771234371491</v>
      </c>
      <c r="W94" s="81">
        <f t="shared" si="37"/>
        <v>0.10654013593502959</v>
      </c>
      <c r="X94" s="46">
        <v>90</v>
      </c>
      <c r="Y94" s="83">
        <f t="shared" si="38"/>
        <v>4.5466691255794531</v>
      </c>
      <c r="Z94" s="84">
        <f t="shared" si="39"/>
        <v>4.4429375251993584</v>
      </c>
      <c r="AA94" s="83">
        <f t="shared" si="40"/>
        <v>5.390177657922858</v>
      </c>
      <c r="AB94" s="84">
        <f t="shared" si="41"/>
        <v>5.2830528774863073</v>
      </c>
    </row>
    <row r="95" spans="1:28">
      <c r="A95" s="46">
        <v>91</v>
      </c>
      <c r="B95" s="47">
        <v>0.23907529999999999</v>
      </c>
      <c r="C95" s="48">
        <v>3.7917599999999999E-3</v>
      </c>
      <c r="D95" s="49">
        <v>1.2388400000000001E-2</v>
      </c>
      <c r="E95" s="50">
        <v>0.86240863000000001</v>
      </c>
      <c r="F95" s="49">
        <v>0.82816972021194002</v>
      </c>
      <c r="G95" s="46">
        <v>91</v>
      </c>
      <c r="H95" s="47">
        <v>0.21103949999999999</v>
      </c>
      <c r="I95" s="48">
        <v>7.1712095999999998E-3</v>
      </c>
      <c r="J95" s="49">
        <v>1.4316086400000001E-2</v>
      </c>
      <c r="K95" s="50">
        <v>0.79434121000000002</v>
      </c>
      <c r="L95" s="49">
        <v>0.76280467837910504</v>
      </c>
      <c r="M95" s="46">
        <v>91</v>
      </c>
      <c r="N95" s="75">
        <f t="shared" si="28"/>
        <v>0.19799492431058563</v>
      </c>
      <c r="O95" s="76">
        <f t="shared" si="29"/>
        <v>0.206180601939839</v>
      </c>
      <c r="P95" s="76">
        <f t="shared" si="30"/>
        <v>0.16098191792278713</v>
      </c>
      <c r="Q95" s="77">
        <f t="shared" si="31"/>
        <v>0.167637371787795</v>
      </c>
      <c r="R95" s="78">
        <f t="shared" si="32"/>
        <v>2026</v>
      </c>
      <c r="S95" s="79">
        <f t="shared" si="33"/>
        <v>0.4</v>
      </c>
      <c r="T95" s="80">
        <f t="shared" si="34"/>
        <v>0.15372677457035247</v>
      </c>
      <c r="U95" s="81">
        <f t="shared" si="35"/>
        <v>0.16008228001575409</v>
      </c>
      <c r="V95" s="82">
        <f t="shared" si="36"/>
        <v>0.11332631906666168</v>
      </c>
      <c r="W95" s="81">
        <f t="shared" si="37"/>
        <v>0.11801155389285559</v>
      </c>
      <c r="X95" s="46">
        <v>91</v>
      </c>
      <c r="Y95" s="83">
        <f t="shared" si="38"/>
        <v>4.2881477195613087</v>
      </c>
      <c r="Z95" s="84">
        <f t="shared" si="39"/>
        <v>4.1924536550400884</v>
      </c>
      <c r="AA95" s="83">
        <f t="shared" si="40"/>
        <v>5.0848895009080497</v>
      </c>
      <c r="AB95" s="84">
        <f t="shared" si="41"/>
        <v>4.9855345178234529</v>
      </c>
    </row>
    <row r="96" spans="1:28">
      <c r="A96" s="46">
        <v>92</v>
      </c>
      <c r="B96" s="47">
        <v>0.25836619999999999</v>
      </c>
      <c r="C96" s="48">
        <v>3.5839999999999999E-3</v>
      </c>
      <c r="D96" s="49">
        <v>1.1873099999999999E-2</v>
      </c>
      <c r="E96" s="50">
        <v>0.86924113999999997</v>
      </c>
      <c r="F96" s="49">
        <v>0.83654729413731299</v>
      </c>
      <c r="G96" s="46">
        <v>92</v>
      </c>
      <c r="H96" s="47">
        <v>0.22993179999999999</v>
      </c>
      <c r="I96" s="48">
        <v>6.8157215999999996E-3</v>
      </c>
      <c r="J96" s="49">
        <v>1.3920566400000001E-2</v>
      </c>
      <c r="K96" s="50">
        <v>0.80284286999999999</v>
      </c>
      <c r="L96" s="49">
        <v>0.77264639190447804</v>
      </c>
      <c r="M96" s="46">
        <v>92</v>
      </c>
      <c r="N96" s="75">
        <f t="shared" si="28"/>
        <v>0.21613554550653982</v>
      </c>
      <c r="O96" s="76">
        <f t="shared" si="29"/>
        <v>0.22458253022546798</v>
      </c>
      <c r="P96" s="76">
        <f t="shared" si="30"/>
        <v>0.17765597565410204</v>
      </c>
      <c r="Q96" s="77">
        <f t="shared" si="31"/>
        <v>0.18459910621626599</v>
      </c>
      <c r="R96" s="78">
        <f t="shared" si="32"/>
        <v>2027</v>
      </c>
      <c r="S96" s="79">
        <f t="shared" si="33"/>
        <v>0.3888888888888889</v>
      </c>
      <c r="T96" s="80">
        <f t="shared" si="34"/>
        <v>0.16915819401710661</v>
      </c>
      <c r="U96" s="81">
        <f t="shared" si="35"/>
        <v>0.17576921524730379</v>
      </c>
      <c r="V96" s="82">
        <f t="shared" si="36"/>
        <v>0.12584049022104138</v>
      </c>
      <c r="W96" s="81">
        <f t="shared" si="37"/>
        <v>0.13075857389593312</v>
      </c>
      <c r="X96" s="46">
        <v>92</v>
      </c>
      <c r="Y96" s="83">
        <f t="shared" si="38"/>
        <v>4.0408623664155439</v>
      </c>
      <c r="Z96" s="84">
        <f t="shared" si="39"/>
        <v>3.9529488689725079</v>
      </c>
      <c r="AA96" s="83">
        <f t="shared" si="40"/>
        <v>4.7912610606333832</v>
      </c>
      <c r="AB96" s="84">
        <f t="shared" si="41"/>
        <v>4.6995580461751985</v>
      </c>
    </row>
    <row r="97" spans="1:28">
      <c r="A97" s="46">
        <v>93</v>
      </c>
      <c r="B97" s="47">
        <v>0.27888469999999999</v>
      </c>
      <c r="C97" s="48">
        <v>3.3767900000000002E-3</v>
      </c>
      <c r="D97" s="49">
        <v>1.1344740000000001E-2</v>
      </c>
      <c r="E97" s="50">
        <v>0.87611695000000001</v>
      </c>
      <c r="F97" s="49">
        <v>0.84499518371641802</v>
      </c>
      <c r="G97" s="46">
        <v>93</v>
      </c>
      <c r="H97" s="47">
        <v>0.25012309999999999</v>
      </c>
      <c r="I97" s="48">
        <v>6.4577855999999999E-3</v>
      </c>
      <c r="J97" s="49">
        <v>1.35190272E-2</v>
      </c>
      <c r="K97" s="50">
        <v>0.81162219000000002</v>
      </c>
      <c r="L97" s="49">
        <v>0.78279143160895504</v>
      </c>
      <c r="M97" s="46">
        <v>93</v>
      </c>
      <c r="N97" s="75">
        <f t="shared" si="28"/>
        <v>0.23565622831219812</v>
      </c>
      <c r="O97" s="76">
        <f t="shared" si="29"/>
        <v>0.24433561276566498</v>
      </c>
      <c r="P97" s="76">
        <f t="shared" si="30"/>
        <v>0.19579421952746981</v>
      </c>
      <c r="Q97" s="77">
        <f t="shared" si="31"/>
        <v>0.20300545819158899</v>
      </c>
      <c r="R97" s="78">
        <f t="shared" si="32"/>
        <v>2028</v>
      </c>
      <c r="S97" s="79">
        <f t="shared" si="33"/>
        <v>0.3783783783783784</v>
      </c>
      <c r="T97" s="80">
        <f t="shared" si="34"/>
        <v>0.18602508930840569</v>
      </c>
      <c r="U97" s="81">
        <f t="shared" si="35"/>
        <v>0.19287652404306993</v>
      </c>
      <c r="V97" s="82">
        <f t="shared" si="36"/>
        <v>0.13966808100483255</v>
      </c>
      <c r="W97" s="81">
        <f t="shared" si="37"/>
        <v>0.1448121545546856</v>
      </c>
      <c r="X97" s="46">
        <v>93</v>
      </c>
      <c r="Y97" s="83">
        <f t="shared" si="38"/>
        <v>3.8063766631614109</v>
      </c>
      <c r="Z97" s="84">
        <f t="shared" si="39"/>
        <v>3.7259792773365743</v>
      </c>
      <c r="AA97" s="83">
        <f t="shared" si="40"/>
        <v>4.5105171984638481</v>
      </c>
      <c r="AB97" s="84">
        <f t="shared" si="41"/>
        <v>4.4263196075074935</v>
      </c>
    </row>
    <row r="98" spans="1:28">
      <c r="A98" s="46">
        <v>94</v>
      </c>
      <c r="B98" s="47">
        <v>0.30027569999999998</v>
      </c>
      <c r="C98" s="48">
        <v>3.1702000000000002E-3</v>
      </c>
      <c r="D98" s="49">
        <v>1.080309E-2</v>
      </c>
      <c r="E98" s="50">
        <v>0.88303644000000003</v>
      </c>
      <c r="F98" s="49">
        <v>0.85351402767761197</v>
      </c>
      <c r="G98" s="46">
        <v>94</v>
      </c>
      <c r="H98" s="47">
        <v>0.27143220000000001</v>
      </c>
      <c r="I98" s="48">
        <v>6.0974015999999999E-3</v>
      </c>
      <c r="J98" s="49">
        <v>1.31113536E-2</v>
      </c>
      <c r="K98" s="50">
        <v>0.82067572</v>
      </c>
      <c r="L98" s="49">
        <v>0.793238203391045</v>
      </c>
      <c r="M98" s="46">
        <v>94</v>
      </c>
      <c r="N98" s="75">
        <f t="shared" si="28"/>
        <v>0.25628952212071432</v>
      </c>
      <c r="O98" s="76">
        <f t="shared" si="29"/>
        <v>0.26515438514650796</v>
      </c>
      <c r="P98" s="76">
        <f t="shared" si="30"/>
        <v>0.21531039067047883</v>
      </c>
      <c r="Q98" s="77">
        <f t="shared" si="31"/>
        <v>0.22275781616618401</v>
      </c>
      <c r="R98" s="78">
        <f t="shared" si="32"/>
        <v>2029</v>
      </c>
      <c r="S98" s="79">
        <f t="shared" si="33"/>
        <v>0.36842105263157893</v>
      </c>
      <c r="T98" s="80">
        <f t="shared" si="34"/>
        <v>0.20417545367364739</v>
      </c>
      <c r="U98" s="81">
        <f t="shared" si="35"/>
        <v>0.21123773002060489</v>
      </c>
      <c r="V98" s="82">
        <f t="shared" si="36"/>
        <v>0.15480775793580567</v>
      </c>
      <c r="W98" s="81">
        <f t="shared" si="37"/>
        <v>0.16016244258336901</v>
      </c>
      <c r="X98" s="46">
        <v>94</v>
      </c>
      <c r="Y98" s="83">
        <f t="shared" si="38"/>
        <v>3.585653183349411</v>
      </c>
      <c r="Z98" s="84">
        <f t="shared" si="39"/>
        <v>3.5124965793725971</v>
      </c>
      <c r="AA98" s="83">
        <f t="shared" si="40"/>
        <v>4.2436387698675047</v>
      </c>
      <c r="AB98" s="84">
        <f t="shared" si="41"/>
        <v>4.1667715587705416</v>
      </c>
    </row>
    <row r="99" spans="1:28">
      <c r="A99" s="46">
        <v>95</v>
      </c>
      <c r="B99" s="47">
        <v>0.3222411</v>
      </c>
      <c r="C99" s="48">
        <v>2.9642900000000001E-3</v>
      </c>
      <c r="D99" s="49">
        <v>1.0247920000000001E-2</v>
      </c>
      <c r="E99" s="50">
        <v>0.89</v>
      </c>
      <c r="F99" s="49">
        <v>0.86210447761193998</v>
      </c>
      <c r="G99" s="46">
        <v>95</v>
      </c>
      <c r="H99" s="47">
        <v>0.29358119999999999</v>
      </c>
      <c r="I99" s="48">
        <v>5.7345408E-3</v>
      </c>
      <c r="J99" s="49">
        <v>1.2697440000000001E-2</v>
      </c>
      <c r="K99" s="50">
        <v>0.83</v>
      </c>
      <c r="L99" s="49">
        <v>0.80398507462686597</v>
      </c>
      <c r="M99" s="46">
        <v>95</v>
      </c>
      <c r="N99" s="75">
        <f t="shared" si="28"/>
        <v>0.27780549518059694</v>
      </c>
      <c r="O99" s="76">
        <f t="shared" si="29"/>
        <v>0.28679457899999999</v>
      </c>
      <c r="P99" s="76">
        <f t="shared" si="30"/>
        <v>0.23603490299104485</v>
      </c>
      <c r="Q99" s="77">
        <f t="shared" si="31"/>
        <v>0.24367239599999999</v>
      </c>
      <c r="R99" s="78">
        <f t="shared" si="32"/>
        <v>2030</v>
      </c>
      <c r="S99" s="79">
        <f t="shared" si="33"/>
        <v>0.35897435897435898</v>
      </c>
      <c r="T99" s="80">
        <f t="shared" si="34"/>
        <v>0.22348472812727752</v>
      </c>
      <c r="U99" s="81">
        <f t="shared" si="35"/>
        <v>0.2307161291914884</v>
      </c>
      <c r="V99" s="82">
        <f t="shared" si="36"/>
        <v>0.17120334603613097</v>
      </c>
      <c r="W99" s="81">
        <f t="shared" si="37"/>
        <v>0.17674305368907198</v>
      </c>
      <c r="X99" s="46">
        <v>95</v>
      </c>
      <c r="Y99" s="83">
        <f t="shared" si="38"/>
        <v>3.3789851332138316</v>
      </c>
      <c r="Z99" s="84">
        <f t="shared" si="39"/>
        <v>3.3127807224041796</v>
      </c>
      <c r="AA99" s="83">
        <f t="shared" si="40"/>
        <v>3.9912627598467578</v>
      </c>
      <c r="AB99" s="84">
        <f t="shared" si="41"/>
        <v>3.921523146990598</v>
      </c>
    </row>
    <row r="100" spans="1:28">
      <c r="A100" s="46">
        <v>96</v>
      </c>
      <c r="B100" s="47">
        <v>0.34442479999999998</v>
      </c>
      <c r="C100" s="48">
        <v>2.7591099999999999E-3</v>
      </c>
      <c r="D100" s="49">
        <v>9.6789800000000002E-3</v>
      </c>
      <c r="E100" s="50">
        <v>0.89700800000000003</v>
      </c>
      <c r="F100" s="49">
        <v>0.87076716895522399</v>
      </c>
      <c r="G100" s="46">
        <v>96</v>
      </c>
      <c r="H100" s="47">
        <v>0.31622990000000001</v>
      </c>
      <c r="I100" s="48">
        <v>5.3692128000000002E-3</v>
      </c>
      <c r="J100" s="49">
        <v>1.22771904E-2</v>
      </c>
      <c r="K100" s="50">
        <v>0.83959156000000001</v>
      </c>
      <c r="L100" s="49">
        <v>0.81503037406567203</v>
      </c>
      <c r="M100" s="46">
        <v>96</v>
      </c>
      <c r="N100" s="75">
        <f t="shared" ref="N100:N117" si="42">B100*F100</f>
        <v>0.29991380801396922</v>
      </c>
      <c r="O100" s="76">
        <f t="shared" ref="O100:O117" si="43">B100*E100</f>
        <v>0.30895180099839997</v>
      </c>
      <c r="P100" s="76">
        <f t="shared" ref="P100:P117" si="44">H100*L100</f>
        <v>0.25773697368775006</v>
      </c>
      <c r="Q100" s="77">
        <f t="shared" ref="Q100:Q117" si="45">H100*K100</f>
        <v>0.26550395505964403</v>
      </c>
      <c r="R100" s="78">
        <f t="shared" ref="R100:R117" si="46">$N$1+M100</f>
        <v>2031</v>
      </c>
      <c r="S100" s="79">
        <f t="shared" ref="S100:S131" si="47">IF(R100&lt;1971,15/(1991-R100),IF(R100&lt;1981,1+(R100-1981)^2/(20*(R100-1991)),IF(R100&lt;=2000,1,IF(R100&lt;2010,1-(R100-2000)^2/(20*(R100-1991)),14/(R100-1991)))))</f>
        <v>0.35</v>
      </c>
      <c r="T100" s="80">
        <f t="shared" ref="T100:T117" si="48">N100*EXP(-($C100+$S100*($D100-$C100))*($R100-1991))</f>
        <v>0.24377667669861711</v>
      </c>
      <c r="U100" s="81">
        <f t="shared" ref="U100:U117" si="49">O100*EXP(-($C100+$S100*($D100-$C100))*($R100-1991))</f>
        <v>0.25112296031376602</v>
      </c>
      <c r="V100" s="82">
        <f t="shared" ref="V100:V117" si="50">P100*EXP(-($I100+$S100*($J100-$I100))*($R100-1991))</f>
        <v>0.18875679446864452</v>
      </c>
      <c r="W100" s="81">
        <f t="shared" ref="W100:W117" si="51">Q100*EXP(-($I100+$S100*($J100-$I100))*($R100-1991))</f>
        <v>0.19444503735238589</v>
      </c>
      <c r="X100" s="46">
        <v>96</v>
      </c>
      <c r="Y100" s="83">
        <f t="shared" ref="Y100:Y116" si="52">1+(1-T100)*$Z$1*Y101</f>
        <v>3.186214911878666</v>
      </c>
      <c r="Z100" s="84">
        <f t="shared" ref="Z100:Z116" si="53">1+(1-U100)*$Z$1*Z101</f>
        <v>3.1266636966824786</v>
      </c>
      <c r="AA100" s="83">
        <f t="shared" ref="AA100:AA116" si="54">1+(1-V100)*$Z$1*AA101</f>
        <v>3.7535301999134845</v>
      </c>
      <c r="AB100" s="84">
        <f t="shared" ref="AB100:AB116" si="55">1+(1-W100)*$Z$1*AB101</f>
        <v>3.6906874414913031</v>
      </c>
    </row>
    <row r="101" spans="1:28">
      <c r="A101" s="46">
        <v>97</v>
      </c>
      <c r="B101" s="47">
        <v>0.36657050000000002</v>
      </c>
      <c r="C101" s="48">
        <v>2.5547399999999998E-3</v>
      </c>
      <c r="D101" s="49">
        <v>9.0960599999999996E-3</v>
      </c>
      <c r="E101" s="50">
        <v>0.90406083000000004</v>
      </c>
      <c r="F101" s="49">
        <v>0.879502759692537</v>
      </c>
      <c r="G101" s="46">
        <v>97</v>
      </c>
      <c r="H101" s="47">
        <v>0.33917370000000002</v>
      </c>
      <c r="I101" s="48">
        <v>5.0013888000000001E-3</v>
      </c>
      <c r="J101" s="49">
        <v>1.18504704E-2</v>
      </c>
      <c r="K101" s="50">
        <v>0.84944695000000003</v>
      </c>
      <c r="L101" s="49">
        <v>0.82637242091044805</v>
      </c>
      <c r="M101" s="46">
        <v>97</v>
      </c>
      <c r="N101" s="75">
        <f t="shared" si="42"/>
        <v>0.32239976637187318</v>
      </c>
      <c r="O101" s="76">
        <f t="shared" si="43"/>
        <v>0.33140203048351502</v>
      </c>
      <c r="P101" s="76">
        <f t="shared" si="44"/>
        <v>0.28028379157815403</v>
      </c>
      <c r="Q101" s="77">
        <f t="shared" si="45"/>
        <v>0.28811006498521502</v>
      </c>
      <c r="R101" s="78">
        <f t="shared" si="46"/>
        <v>2032</v>
      </c>
      <c r="S101" s="79">
        <f t="shared" si="47"/>
        <v>0.34146341463414637</v>
      </c>
      <c r="T101" s="80">
        <f t="shared" si="48"/>
        <v>0.26493101357918447</v>
      </c>
      <c r="U101" s="81">
        <f t="shared" si="49"/>
        <v>0.27232859634558704</v>
      </c>
      <c r="V101" s="82">
        <f t="shared" si="50"/>
        <v>0.20744340345516554</v>
      </c>
      <c r="W101" s="81">
        <f t="shared" si="51"/>
        <v>0.21323577832918209</v>
      </c>
      <c r="X101" s="46">
        <v>97</v>
      </c>
      <c r="Y101" s="83">
        <f t="shared" si="52"/>
        <v>3.0066032589789273</v>
      </c>
      <c r="Z101" s="84">
        <f t="shared" si="53"/>
        <v>2.9533957209803803</v>
      </c>
      <c r="AA101" s="83">
        <f t="shared" si="54"/>
        <v>3.5299789118533829</v>
      </c>
      <c r="AB101" s="84">
        <f t="shared" si="55"/>
        <v>3.4737728260698009</v>
      </c>
    </row>
    <row r="102" spans="1:28">
      <c r="A102" s="46">
        <v>98</v>
      </c>
      <c r="B102" s="47">
        <v>0.38860509999999998</v>
      </c>
      <c r="C102" s="48">
        <v>2.3512400000000001E-3</v>
      </c>
      <c r="D102" s="49">
        <v>8.4989100000000001E-3</v>
      </c>
      <c r="E102" s="50">
        <v>0.91115886000000001</v>
      </c>
      <c r="F102" s="49">
        <v>0.888311891570149</v>
      </c>
      <c r="G102" s="46">
        <v>98</v>
      </c>
      <c r="H102" s="47">
        <v>0.36230509999999999</v>
      </c>
      <c r="I102" s="48">
        <v>4.6310687999999997E-3</v>
      </c>
      <c r="J102" s="49">
        <v>1.14171936E-2</v>
      </c>
      <c r="K102" s="50">
        <v>0.85956270000000001</v>
      </c>
      <c r="L102" s="49">
        <v>0.83800948602985104</v>
      </c>
      <c r="M102" s="46">
        <v>98</v>
      </c>
      <c r="N102" s="75">
        <f t="shared" si="42"/>
        <v>0.34520253145480689</v>
      </c>
      <c r="O102" s="76">
        <f t="shared" si="43"/>
        <v>0.35408097990618598</v>
      </c>
      <c r="P102" s="76">
        <f t="shared" si="44"/>
        <v>0.30361511063699376</v>
      </c>
      <c r="Q102" s="77">
        <f t="shared" si="45"/>
        <v>0.31142394997977002</v>
      </c>
      <c r="R102" s="78">
        <f t="shared" si="46"/>
        <v>2033</v>
      </c>
      <c r="S102" s="79">
        <f t="shared" si="47"/>
        <v>0.33333333333333331</v>
      </c>
      <c r="T102" s="80">
        <f t="shared" si="48"/>
        <v>0.2869511041647741</v>
      </c>
      <c r="U102" s="81">
        <f t="shared" si="49"/>
        <v>0.29433135301653202</v>
      </c>
      <c r="V102" s="82">
        <f t="shared" si="50"/>
        <v>0.22729532861386537</v>
      </c>
      <c r="W102" s="81">
        <f t="shared" si="51"/>
        <v>0.23314125868231744</v>
      </c>
      <c r="X102" s="46">
        <v>98</v>
      </c>
      <c r="Y102" s="83">
        <f t="shared" si="52"/>
        <v>2.8390088928923816</v>
      </c>
      <c r="Z102" s="84">
        <f t="shared" si="53"/>
        <v>2.7918254580530615</v>
      </c>
      <c r="AA102" s="83">
        <f t="shared" si="54"/>
        <v>3.3198614203681975</v>
      </c>
      <c r="AB102" s="84">
        <f t="shared" si="55"/>
        <v>3.2700060173669416</v>
      </c>
    </row>
    <row r="103" spans="1:28">
      <c r="A103" s="46">
        <v>99</v>
      </c>
      <c r="B103" s="47">
        <v>0.41057949999999999</v>
      </c>
      <c r="C103" s="48">
        <v>2.1486700000000001E-3</v>
      </c>
      <c r="D103" s="49">
        <v>7.8873099999999998E-3</v>
      </c>
      <c r="E103" s="50">
        <v>0.91830248000000003</v>
      </c>
      <c r="F103" s="49">
        <v>0.89719522896716397</v>
      </c>
      <c r="G103" s="46">
        <v>99</v>
      </c>
      <c r="H103" s="47">
        <v>0.38555869999999998</v>
      </c>
      <c r="I103" s="48">
        <v>4.2582432000000002E-3</v>
      </c>
      <c r="J103" s="49">
        <v>1.0977235199999999E-2</v>
      </c>
      <c r="K103" s="50">
        <v>0.86993535</v>
      </c>
      <c r="L103" s="49">
        <v>0.84993982105970201</v>
      </c>
      <c r="M103" s="46">
        <v>99</v>
      </c>
      <c r="N103" s="75">
        <f t="shared" si="42"/>
        <v>0.36836996851172371</v>
      </c>
      <c r="O103" s="76">
        <f t="shared" si="43"/>
        <v>0.37703617308715998</v>
      </c>
      <c r="P103" s="76">
        <f t="shared" si="44"/>
        <v>0.32770169248601133</v>
      </c>
      <c r="Q103" s="77">
        <f t="shared" si="45"/>
        <v>0.33541114263004496</v>
      </c>
      <c r="R103" s="78">
        <f t="shared" si="46"/>
        <v>2034</v>
      </c>
      <c r="S103" s="79">
        <f t="shared" si="47"/>
        <v>0.32558139534883723</v>
      </c>
      <c r="T103" s="80">
        <f t="shared" si="48"/>
        <v>0.30993233899817024</v>
      </c>
      <c r="U103" s="81">
        <f t="shared" si="49"/>
        <v>0.31722375057863439</v>
      </c>
      <c r="V103" s="82">
        <f t="shared" si="50"/>
        <v>0.24837342877518909</v>
      </c>
      <c r="W103" s="81">
        <f t="shared" si="51"/>
        <v>0.25421661668099077</v>
      </c>
      <c r="X103" s="46">
        <v>99</v>
      </c>
      <c r="Y103" s="83">
        <f t="shared" si="52"/>
        <v>2.6822413719157359</v>
      </c>
      <c r="Z103" s="84">
        <f t="shared" si="53"/>
        <v>2.6407556639240077</v>
      </c>
      <c r="AA103" s="83">
        <f t="shared" si="54"/>
        <v>3.1223518719706012</v>
      </c>
      <c r="AB103" s="84">
        <f t="shared" si="55"/>
        <v>3.0785412369494272</v>
      </c>
    </row>
    <row r="104" spans="1:28">
      <c r="A104" s="46">
        <v>100</v>
      </c>
      <c r="B104" s="47">
        <v>0.4325524</v>
      </c>
      <c r="C104" s="48">
        <v>1.9470900000000001E-3</v>
      </c>
      <c r="D104" s="49">
        <v>7.26102E-3</v>
      </c>
      <c r="E104" s="50">
        <v>0.92549205999999995</v>
      </c>
      <c r="F104" s="49">
        <v>0.90615341994029797</v>
      </c>
      <c r="G104" s="46">
        <v>100</v>
      </c>
      <c r="H104" s="47">
        <v>0.40889019999999998</v>
      </c>
      <c r="I104" s="48">
        <v>3.8828928E-3</v>
      </c>
      <c r="J104" s="49">
        <v>1.05304896E-2</v>
      </c>
      <c r="K104" s="50">
        <v>0.88056144999999997</v>
      </c>
      <c r="L104" s="49">
        <v>0.86216165850746296</v>
      </c>
      <c r="M104" s="46">
        <v>100</v>
      </c>
      <c r="N104" s="75">
        <f t="shared" si="42"/>
        <v>0.39195883656338376</v>
      </c>
      <c r="O104" s="76">
        <f t="shared" si="43"/>
        <v>0.40032381173394399</v>
      </c>
      <c r="P104" s="76">
        <f t="shared" si="44"/>
        <v>0.35252945297944821</v>
      </c>
      <c r="Q104" s="77">
        <f t="shared" si="45"/>
        <v>0.36005294740278998</v>
      </c>
      <c r="R104" s="78">
        <f t="shared" si="46"/>
        <v>2035</v>
      </c>
      <c r="S104" s="79">
        <f t="shared" si="47"/>
        <v>0.31818181818181818</v>
      </c>
      <c r="T104" s="80">
        <f t="shared" si="48"/>
        <v>0.333982917182923</v>
      </c>
      <c r="U104" s="81">
        <f t="shared" si="49"/>
        <v>0.34111060139109528</v>
      </c>
      <c r="V104" s="82">
        <f t="shared" si="50"/>
        <v>0.27075667380776319</v>
      </c>
      <c r="W104" s="81">
        <f t="shared" si="51"/>
        <v>0.27653501745609954</v>
      </c>
      <c r="X104" s="46">
        <v>100</v>
      </c>
      <c r="Y104" s="83">
        <f t="shared" si="52"/>
        <v>2.5353036023343316</v>
      </c>
      <c r="Z104" s="84">
        <f t="shared" si="53"/>
        <v>2.4991875331443998</v>
      </c>
      <c r="AA104" s="83">
        <f t="shared" si="54"/>
        <v>2.9366257545320864</v>
      </c>
      <c r="AB104" s="84">
        <f t="shared" si="55"/>
        <v>2.8985398907751518</v>
      </c>
    </row>
    <row r="105" spans="1:28">
      <c r="A105" s="46">
        <v>101</v>
      </c>
      <c r="B105" s="47">
        <v>0.45452670000000001</v>
      </c>
      <c r="C105" s="48">
        <v>1.74657E-3</v>
      </c>
      <c r="D105" s="49">
        <v>6.6198000000000003E-3</v>
      </c>
      <c r="E105" s="50">
        <v>0.932728</v>
      </c>
      <c r="F105" s="49">
        <v>0.91518714507462695</v>
      </c>
      <c r="G105" s="46">
        <v>101</v>
      </c>
      <c r="H105" s="47">
        <v>0.43227120000000002</v>
      </c>
      <c r="I105" s="48">
        <v>3.5050175999999998E-3</v>
      </c>
      <c r="J105" s="49">
        <v>1.0076841600000001E-2</v>
      </c>
      <c r="K105" s="50">
        <v>0.89143751000000004</v>
      </c>
      <c r="L105" s="49">
        <v>0.87467316279701501</v>
      </c>
      <c r="M105" s="46">
        <v>101</v>
      </c>
      <c r="N105" s="75">
        <f t="shared" si="42"/>
        <v>0.41597699293319146</v>
      </c>
      <c r="O105" s="76">
        <f t="shared" si="43"/>
        <v>0.42394977983760002</v>
      </c>
      <c r="P105" s="76">
        <f t="shared" si="44"/>
        <v>0.37809601769006107</v>
      </c>
      <c r="Q105" s="77">
        <f t="shared" si="45"/>
        <v>0.38534276217271202</v>
      </c>
      <c r="R105" s="78">
        <f t="shared" si="46"/>
        <v>2036</v>
      </c>
      <c r="S105" s="79">
        <f t="shared" si="47"/>
        <v>0.31111111111111112</v>
      </c>
      <c r="T105" s="80">
        <f t="shared" si="48"/>
        <v>0.35917476595662456</v>
      </c>
      <c r="U105" s="81">
        <f t="shared" si="49"/>
        <v>0.36605885791137577</v>
      </c>
      <c r="V105" s="82">
        <f t="shared" si="50"/>
        <v>0.29454059883526745</v>
      </c>
      <c r="W105" s="81">
        <f t="shared" si="51"/>
        <v>0.3001858856398375</v>
      </c>
      <c r="X105" s="46">
        <v>101</v>
      </c>
      <c r="Y105" s="83">
        <f t="shared" si="52"/>
        <v>2.3974095974746135</v>
      </c>
      <c r="Z105" s="84">
        <f t="shared" si="53"/>
        <v>2.3663380193428178</v>
      </c>
      <c r="AA105" s="83">
        <f t="shared" si="54"/>
        <v>2.7618912815150436</v>
      </c>
      <c r="AB105" s="84">
        <f t="shared" si="55"/>
        <v>2.7292011832602343</v>
      </c>
    </row>
    <row r="106" spans="1:28">
      <c r="A106" s="46">
        <v>102</v>
      </c>
      <c r="B106" s="47">
        <v>0.47649360000000002</v>
      </c>
      <c r="C106" s="48">
        <v>1.5471700000000001E-3</v>
      </c>
      <c r="D106" s="49">
        <v>5.9634400000000004E-3</v>
      </c>
      <c r="E106" s="50">
        <v>0.94001067000000005</v>
      </c>
      <c r="F106" s="49">
        <v>0.92429705880000002</v>
      </c>
      <c r="G106" s="46">
        <v>102</v>
      </c>
      <c r="H106" s="47">
        <v>0.45568750000000002</v>
      </c>
      <c r="I106" s="48">
        <v>3.1245983999999998E-3</v>
      </c>
      <c r="J106" s="49">
        <v>9.6161952000000002E-3</v>
      </c>
      <c r="K106" s="50">
        <v>0.90256009999999998</v>
      </c>
      <c r="L106" s="49">
        <v>0.88747252817910405</v>
      </c>
      <c r="M106" s="46">
        <v>102</v>
      </c>
      <c r="N106" s="75">
        <f t="shared" si="42"/>
        <v>0.44042163301702369</v>
      </c>
      <c r="O106" s="76">
        <f t="shared" si="43"/>
        <v>0.44790906818671206</v>
      </c>
      <c r="P106" s="76">
        <f t="shared" si="44"/>
        <v>0.40441013768461548</v>
      </c>
      <c r="Q106" s="77">
        <f t="shared" si="45"/>
        <v>0.41128535556875001</v>
      </c>
      <c r="R106" s="78">
        <f t="shared" si="46"/>
        <v>2037</v>
      </c>
      <c r="S106" s="79">
        <f t="shared" si="47"/>
        <v>0.30434782608695654</v>
      </c>
      <c r="T106" s="80">
        <f t="shared" si="48"/>
        <v>0.38557469089409174</v>
      </c>
      <c r="U106" s="81">
        <f t="shared" si="49"/>
        <v>0.39212969474657178</v>
      </c>
      <c r="V106" s="82">
        <f t="shared" si="50"/>
        <v>0.31983833777617338</v>
      </c>
      <c r="W106" s="81">
        <f t="shared" si="51"/>
        <v>0.32527578371286625</v>
      </c>
      <c r="X106" s="46">
        <v>102</v>
      </c>
      <c r="Y106" s="83">
        <f t="shared" si="52"/>
        <v>2.2678663450934402</v>
      </c>
      <c r="Z106" s="84">
        <f t="shared" si="53"/>
        <v>2.2415196707928411</v>
      </c>
      <c r="AA106" s="83">
        <f t="shared" si="54"/>
        <v>2.5974094749469043</v>
      </c>
      <c r="AB106" s="84">
        <f t="shared" si="55"/>
        <v>2.569781308619199</v>
      </c>
    </row>
    <row r="107" spans="1:28">
      <c r="A107" s="46">
        <v>103</v>
      </c>
      <c r="B107" s="47">
        <v>0.4984594</v>
      </c>
      <c r="C107" s="48">
        <v>1.34896E-3</v>
      </c>
      <c r="D107" s="49">
        <v>5.29168E-3</v>
      </c>
      <c r="E107" s="50">
        <v>0.94734043999999995</v>
      </c>
      <c r="F107" s="49">
        <v>0.93348381863880603</v>
      </c>
      <c r="G107" s="46">
        <v>103</v>
      </c>
      <c r="H107" s="47">
        <v>0.47912640000000001</v>
      </c>
      <c r="I107" s="48">
        <v>2.7416352000000001E-3</v>
      </c>
      <c r="J107" s="49">
        <v>9.1484352000000008E-3</v>
      </c>
      <c r="K107" s="50">
        <v>0.91392574000000004</v>
      </c>
      <c r="L107" s="49">
        <v>0.900557870967164</v>
      </c>
      <c r="M107" s="46">
        <v>103</v>
      </c>
      <c r="N107" s="75">
        <f t="shared" si="42"/>
        <v>0.46530378414840806</v>
      </c>
      <c r="O107" s="76">
        <f t="shared" si="43"/>
        <v>0.47221074731813595</v>
      </c>
      <c r="P107" s="76">
        <f t="shared" si="44"/>
        <v>0.43148105070816178</v>
      </c>
      <c r="Q107" s="77">
        <f t="shared" si="45"/>
        <v>0.437885949673536</v>
      </c>
      <c r="R107" s="78">
        <f t="shared" si="46"/>
        <v>2038</v>
      </c>
      <c r="S107" s="79">
        <f t="shared" si="47"/>
        <v>0.2978723404255319</v>
      </c>
      <c r="T107" s="80">
        <f t="shared" si="48"/>
        <v>0.41326593308777509</v>
      </c>
      <c r="U107" s="81">
        <f t="shared" si="49"/>
        <v>0.41940044708998681</v>
      </c>
      <c r="V107" s="82">
        <f t="shared" si="50"/>
        <v>0.34677339983850802</v>
      </c>
      <c r="W107" s="81">
        <f t="shared" si="51"/>
        <v>0.35192089956346628</v>
      </c>
      <c r="X107" s="46">
        <v>103</v>
      </c>
      <c r="Y107" s="83">
        <f t="shared" si="52"/>
        <v>2.1460395256437828</v>
      </c>
      <c r="Z107" s="84">
        <f t="shared" si="53"/>
        <v>2.124105169253574</v>
      </c>
      <c r="AA107" s="83">
        <f t="shared" si="54"/>
        <v>2.4425161637500237</v>
      </c>
      <c r="AB107" s="84">
        <f t="shared" si="55"/>
        <v>2.4196145944600485</v>
      </c>
    </row>
    <row r="108" spans="1:28">
      <c r="A108" s="46">
        <v>104</v>
      </c>
      <c r="B108" s="47">
        <v>0.52042469999999996</v>
      </c>
      <c r="C108" s="48">
        <v>1.152E-3</v>
      </c>
      <c r="D108" s="49">
        <v>4.6043100000000003E-3</v>
      </c>
      <c r="E108" s="50">
        <v>0.95471771000000005</v>
      </c>
      <c r="F108" s="49">
        <v>0.94274811482985099</v>
      </c>
      <c r="G108" s="46">
        <v>104</v>
      </c>
      <c r="H108" s="47">
        <v>0.50258009999999997</v>
      </c>
      <c r="I108" s="48">
        <v>2.3561087999999998E-3</v>
      </c>
      <c r="J108" s="49">
        <v>8.6734367999999999E-3</v>
      </c>
      <c r="K108" s="50">
        <v>0.92553096999999995</v>
      </c>
      <c r="L108" s="49">
        <v>0.91392729813731299</v>
      </c>
      <c r="M108" s="46">
        <v>104</v>
      </c>
      <c r="N108" s="75">
        <f t="shared" si="42"/>
        <v>0.49062940483589074</v>
      </c>
      <c r="O108" s="76">
        <f t="shared" si="43"/>
        <v>0.496858677811437</v>
      </c>
      <c r="P108" s="76">
        <f t="shared" si="44"/>
        <v>0.45932167289058057</v>
      </c>
      <c r="Q108" s="77">
        <f t="shared" si="45"/>
        <v>0.46515344745569698</v>
      </c>
      <c r="R108" s="78">
        <f t="shared" si="46"/>
        <v>2039</v>
      </c>
      <c r="S108" s="79">
        <f t="shared" si="47"/>
        <v>0.29166666666666669</v>
      </c>
      <c r="T108" s="80">
        <f t="shared" si="48"/>
        <v>0.44233199786100869</v>
      </c>
      <c r="U108" s="81">
        <f t="shared" si="49"/>
        <v>0.44794806313010244</v>
      </c>
      <c r="V108" s="82">
        <f t="shared" si="50"/>
        <v>0.37548366287602941</v>
      </c>
      <c r="W108" s="81">
        <f t="shared" si="51"/>
        <v>0.38025098870456442</v>
      </c>
      <c r="X108" s="46">
        <v>104</v>
      </c>
      <c r="Y108" s="83">
        <f t="shared" si="52"/>
        <v>2.0313821437742412</v>
      </c>
      <c r="Z108" s="84">
        <f t="shared" si="53"/>
        <v>2.0135554189875688</v>
      </c>
      <c r="AA108" s="83">
        <f t="shared" si="54"/>
        <v>2.2966254128799077</v>
      </c>
      <c r="AB108" s="84">
        <f t="shared" si="55"/>
        <v>2.2781157072400209</v>
      </c>
    </row>
    <row r="109" spans="1:28">
      <c r="A109" s="46">
        <v>105</v>
      </c>
      <c r="B109" s="47">
        <v>0.54239000000000004</v>
      </c>
      <c r="C109" s="48">
        <v>9.5635000000000002E-4</v>
      </c>
      <c r="D109" s="49">
        <v>3.9010799999999999E-3</v>
      </c>
      <c r="E109" s="50">
        <v>0.96214286000000004</v>
      </c>
      <c r="F109" s="49">
        <v>0.95209062116417897</v>
      </c>
      <c r="G109" s="46">
        <v>105</v>
      </c>
      <c r="H109" s="47">
        <v>0.52604119999999999</v>
      </c>
      <c r="I109" s="48">
        <v>1.9680095999999999E-3</v>
      </c>
      <c r="J109" s="49">
        <v>8.1911135999999992E-3</v>
      </c>
      <c r="K109" s="50">
        <v>0.93737234000000003</v>
      </c>
      <c r="L109" s="49">
        <v>0.92757889764179102</v>
      </c>
      <c r="M109" s="46">
        <v>105</v>
      </c>
      <c r="N109" s="75">
        <f t="shared" si="42"/>
        <v>0.51640443201323905</v>
      </c>
      <c r="O109" s="76">
        <f t="shared" si="43"/>
        <v>0.52185666583540002</v>
      </c>
      <c r="P109" s="76">
        <f t="shared" si="44"/>
        <v>0.4879447164101649</v>
      </c>
      <c r="Q109" s="77">
        <f t="shared" si="45"/>
        <v>0.49309647058040801</v>
      </c>
      <c r="R109" s="78">
        <f t="shared" si="46"/>
        <v>2040</v>
      </c>
      <c r="S109" s="79">
        <f t="shared" si="47"/>
        <v>0.2857142857142857</v>
      </c>
      <c r="T109" s="80">
        <f t="shared" si="48"/>
        <v>0.47286165967619759</v>
      </c>
      <c r="U109" s="81">
        <f t="shared" si="49"/>
        <v>0.47785416588695689</v>
      </c>
      <c r="V109" s="82">
        <f t="shared" si="50"/>
        <v>0.40611898655237266</v>
      </c>
      <c r="W109" s="81">
        <f t="shared" si="51"/>
        <v>0.4104068189895772</v>
      </c>
      <c r="X109" s="46">
        <v>105</v>
      </c>
      <c r="Y109" s="83">
        <f t="shared" si="52"/>
        <v>1.9234337014334744</v>
      </c>
      <c r="Z109" s="84">
        <f t="shared" si="53"/>
        <v>1.9094175119169841</v>
      </c>
      <c r="AA109" s="83">
        <f t="shared" si="54"/>
        <v>2.1592556499085154</v>
      </c>
      <c r="AB109" s="84">
        <f t="shared" si="55"/>
        <v>2.1448042857723424</v>
      </c>
    </row>
    <row r="110" spans="1:28">
      <c r="A110" s="46">
        <v>106</v>
      </c>
      <c r="B110" s="47">
        <v>0.56435659999999999</v>
      </c>
      <c r="C110" s="48">
        <v>7.6207E-4</v>
      </c>
      <c r="D110" s="49">
        <v>3.18177E-3</v>
      </c>
      <c r="E110" s="50">
        <v>0.96961624999999996</v>
      </c>
      <c r="F110" s="49">
        <v>0.96151199477611904</v>
      </c>
      <c r="G110" s="46">
        <v>106</v>
      </c>
      <c r="H110" s="47">
        <v>0.54950390000000005</v>
      </c>
      <c r="I110" s="48">
        <v>1.5773376E-3</v>
      </c>
      <c r="J110" s="49">
        <v>7.7013408000000004E-3</v>
      </c>
      <c r="K110" s="50">
        <v>0.94944638000000003</v>
      </c>
      <c r="L110" s="49">
        <v>0.94151070876417897</v>
      </c>
      <c r="M110" s="46">
        <v>106</v>
      </c>
      <c r="N110" s="75">
        <f t="shared" si="42"/>
        <v>0.54263564023106825</v>
      </c>
      <c r="O110" s="76">
        <f t="shared" si="43"/>
        <v>0.54720933015474993</v>
      </c>
      <c r="P110" s="76">
        <f t="shared" si="44"/>
        <v>0.51736380635768053</v>
      </c>
      <c r="Q110" s="77">
        <f t="shared" si="45"/>
        <v>0.52172448865088206</v>
      </c>
      <c r="R110" s="78">
        <f t="shared" si="46"/>
        <v>2041</v>
      </c>
      <c r="S110" s="79">
        <f t="shared" si="47"/>
        <v>0.28000000000000003</v>
      </c>
      <c r="T110" s="80">
        <f t="shared" si="48"/>
        <v>0.50494968075351243</v>
      </c>
      <c r="U110" s="81">
        <f t="shared" si="49"/>
        <v>0.50920572863463798</v>
      </c>
      <c r="V110" s="82">
        <f t="shared" si="50"/>
        <v>0.43884373350550238</v>
      </c>
      <c r="W110" s="81">
        <f t="shared" si="51"/>
        <v>0.4425425970028396</v>
      </c>
      <c r="X110" s="46">
        <v>106</v>
      </c>
      <c r="Y110" s="83">
        <f t="shared" si="52"/>
        <v>1.8218577098772433</v>
      </c>
      <c r="Z110" s="84">
        <f t="shared" si="53"/>
        <v>1.8113602572359155</v>
      </c>
      <c r="AA110" s="83">
        <f t="shared" si="54"/>
        <v>2.0300798452974567</v>
      </c>
      <c r="AB110" s="84">
        <f t="shared" si="55"/>
        <v>2.0193524883765384</v>
      </c>
    </row>
    <row r="111" spans="1:28">
      <c r="A111" s="46">
        <v>107</v>
      </c>
      <c r="B111" s="47">
        <v>0.58632580000000001</v>
      </c>
      <c r="C111" s="48">
        <v>5.6924000000000005E-4</v>
      </c>
      <c r="D111" s="49">
        <v>2.4461399999999999E-3</v>
      </c>
      <c r="E111" s="50">
        <v>0.97713828999999996</v>
      </c>
      <c r="F111" s="49">
        <v>0.97101294549552197</v>
      </c>
      <c r="G111" s="46">
        <v>107</v>
      </c>
      <c r="H111" s="47">
        <v>0.57296650000000005</v>
      </c>
      <c r="I111" s="48">
        <v>1.1840640000000001E-3</v>
      </c>
      <c r="J111" s="49">
        <v>7.2040224000000002E-3</v>
      </c>
      <c r="K111" s="50">
        <v>0.96174961999999997</v>
      </c>
      <c r="L111" s="49">
        <v>0.95572074178507505</v>
      </c>
      <c r="M111" s="46">
        <v>107</v>
      </c>
      <c r="N111" s="75">
        <f t="shared" si="42"/>
        <v>0.56932994207801835</v>
      </c>
      <c r="O111" s="76">
        <f t="shared" si="43"/>
        <v>0.57292138959488204</v>
      </c>
      <c r="P111" s="76">
        <f t="shared" si="44"/>
        <v>0.54759596839799829</v>
      </c>
      <c r="Q111" s="77">
        <f t="shared" si="45"/>
        <v>0.55105031364773005</v>
      </c>
      <c r="R111" s="78">
        <f t="shared" si="46"/>
        <v>2042</v>
      </c>
      <c r="S111" s="79">
        <f t="shared" si="47"/>
        <v>0.27450980392156865</v>
      </c>
      <c r="T111" s="80">
        <f t="shared" si="48"/>
        <v>0.53869647661117093</v>
      </c>
      <c r="U111" s="81">
        <f t="shared" si="49"/>
        <v>0.54209468208093226</v>
      </c>
      <c r="V111" s="82">
        <f t="shared" si="50"/>
        <v>0.47384063376453811</v>
      </c>
      <c r="W111" s="81">
        <f t="shared" si="51"/>
        <v>0.47682971556359321</v>
      </c>
      <c r="X111" s="46">
        <v>107</v>
      </c>
      <c r="Y111" s="83">
        <f t="shared" si="52"/>
        <v>1.7265558369365652</v>
      </c>
      <c r="Z111" s="84">
        <f t="shared" si="53"/>
        <v>1.7192838563048167</v>
      </c>
      <c r="AA111" s="83">
        <f t="shared" si="54"/>
        <v>1.9090636656373494</v>
      </c>
      <c r="AB111" s="84">
        <f t="shared" si="55"/>
        <v>1.9017176598818981</v>
      </c>
    </row>
    <row r="112" spans="1:28">
      <c r="A112" s="46">
        <v>108</v>
      </c>
      <c r="B112" s="47">
        <v>0.60829889999999998</v>
      </c>
      <c r="C112" s="48">
        <v>3.7790000000000002E-4</v>
      </c>
      <c r="D112" s="49">
        <v>1.69396E-3</v>
      </c>
      <c r="E112" s="50">
        <v>0.98470933000000005</v>
      </c>
      <c r="F112" s="49">
        <v>0.98059412682985103</v>
      </c>
      <c r="G112" s="46">
        <v>108</v>
      </c>
      <c r="H112" s="47">
        <v>0.59642859999999998</v>
      </c>
      <c r="I112" s="48">
        <v>7.8818880000000005E-4</v>
      </c>
      <c r="J112" s="49">
        <v>6.6990336000000003E-3</v>
      </c>
      <c r="K112" s="50">
        <v>0.97427861999999998</v>
      </c>
      <c r="L112" s="49">
        <v>0.97020700785671599</v>
      </c>
      <c r="M112" s="46">
        <v>108</v>
      </c>
      <c r="N112" s="75">
        <f t="shared" si="42"/>
        <v>0.59649432869705887</v>
      </c>
      <c r="O112" s="76">
        <f t="shared" si="43"/>
        <v>0.59899760225873699</v>
      </c>
      <c r="P112" s="76">
        <f t="shared" si="44"/>
        <v>0.57865920740617005</v>
      </c>
      <c r="Q112" s="77">
        <f t="shared" si="45"/>
        <v>0.58108763333653202</v>
      </c>
      <c r="R112" s="78">
        <f t="shared" si="46"/>
        <v>2043</v>
      </c>
      <c r="S112" s="79">
        <f t="shared" si="47"/>
        <v>0.26923076923076922</v>
      </c>
      <c r="T112" s="80">
        <f t="shared" si="48"/>
        <v>0.57420937456509036</v>
      </c>
      <c r="U112" s="81">
        <f t="shared" si="49"/>
        <v>0.57661912613700594</v>
      </c>
      <c r="V112" s="82">
        <f t="shared" si="50"/>
        <v>0.51131000580737762</v>
      </c>
      <c r="W112" s="81">
        <f t="shared" si="51"/>
        <v>0.51345579120345197</v>
      </c>
      <c r="X112" s="46">
        <v>108</v>
      </c>
      <c r="Y112" s="83">
        <f t="shared" si="52"/>
        <v>1.6380062845891674</v>
      </c>
      <c r="Z112" s="84">
        <f t="shared" si="53"/>
        <v>1.6336460427158095</v>
      </c>
      <c r="AA112" s="83">
        <f t="shared" si="54"/>
        <v>1.7968438327481091</v>
      </c>
      <c r="AB112" s="84">
        <f t="shared" si="55"/>
        <v>1.7925069411910868</v>
      </c>
    </row>
    <row r="113" spans="1:28">
      <c r="A113" s="46">
        <v>109</v>
      </c>
      <c r="B113" s="47">
        <v>0.63027719999999998</v>
      </c>
      <c r="C113" s="48">
        <v>1.8814E-4</v>
      </c>
      <c r="D113" s="49">
        <v>9.2500000000000004E-4</v>
      </c>
      <c r="E113" s="50">
        <v>0.99232978000000005</v>
      </c>
      <c r="F113" s="49">
        <v>0.99025625508656701</v>
      </c>
      <c r="G113" s="46">
        <v>109</v>
      </c>
      <c r="H113" s="47">
        <v>0.61988940000000003</v>
      </c>
      <c r="I113" s="48">
        <v>3.8970239999999999E-4</v>
      </c>
      <c r="J113" s="49">
        <v>6.1862688000000002E-3</v>
      </c>
      <c r="K113" s="50">
        <v>0.98702990000000002</v>
      </c>
      <c r="L113" s="49">
        <v>0.984967449462686</v>
      </c>
      <c r="M113" s="46">
        <v>109</v>
      </c>
      <c r="N113" s="75">
        <f t="shared" si="42"/>
        <v>0.62413593973844717</v>
      </c>
      <c r="O113" s="76">
        <f t="shared" si="43"/>
        <v>0.62544283521501598</v>
      </c>
      <c r="P113" s="76">
        <f t="shared" si="44"/>
        <v>0.6105708812669548</v>
      </c>
      <c r="Q113" s="77">
        <f t="shared" si="45"/>
        <v>0.61184937249306004</v>
      </c>
      <c r="R113" s="78">
        <f t="shared" si="46"/>
        <v>2044</v>
      </c>
      <c r="S113" s="79">
        <f t="shared" si="47"/>
        <v>0.26415094339622641</v>
      </c>
      <c r="T113" s="80">
        <f t="shared" si="48"/>
        <v>0.61160138388915108</v>
      </c>
      <c r="U113" s="81">
        <f t="shared" si="49"/>
        <v>0.61288203291314891</v>
      </c>
      <c r="V113" s="82">
        <f t="shared" si="50"/>
        <v>0.55147043760676751</v>
      </c>
      <c r="W113" s="81">
        <f t="shared" si="51"/>
        <v>0.55262517678213352</v>
      </c>
      <c r="X113" s="46">
        <v>109</v>
      </c>
      <c r="Y113" s="83">
        <f t="shared" si="52"/>
        <v>1.5583399359603023</v>
      </c>
      <c r="Z113" s="84">
        <f t="shared" si="53"/>
        <v>1.5564989471812833</v>
      </c>
      <c r="AA113" s="83">
        <f t="shared" si="54"/>
        <v>1.6957940532978983</v>
      </c>
      <c r="AB113" s="84">
        <f t="shared" si="55"/>
        <v>1.6940027317915907</v>
      </c>
    </row>
    <row r="114" spans="1:28">
      <c r="A114" s="46">
        <v>110</v>
      </c>
      <c r="B114" s="47">
        <v>0.65226209999999996</v>
      </c>
      <c r="C114" s="48">
        <v>1.8814E-4</v>
      </c>
      <c r="D114" s="49">
        <v>9.2500000000000004E-4</v>
      </c>
      <c r="E114" s="50">
        <v>1</v>
      </c>
      <c r="F114" s="49">
        <v>1</v>
      </c>
      <c r="G114" s="46">
        <v>110</v>
      </c>
      <c r="H114" s="47">
        <v>0.64334840000000004</v>
      </c>
      <c r="I114" s="48">
        <v>3.8970239999999999E-4</v>
      </c>
      <c r="J114" s="49">
        <v>6.1862688000000002E-3</v>
      </c>
      <c r="K114" s="50">
        <v>1</v>
      </c>
      <c r="L114" s="49">
        <v>1</v>
      </c>
      <c r="M114" s="46">
        <v>110</v>
      </c>
      <c r="N114" s="75">
        <f t="shared" si="42"/>
        <v>0.65226209999999996</v>
      </c>
      <c r="O114" s="76">
        <f t="shared" si="43"/>
        <v>0.65226209999999996</v>
      </c>
      <c r="P114" s="76">
        <f t="shared" si="44"/>
        <v>0.64334840000000004</v>
      </c>
      <c r="Q114" s="77">
        <f t="shared" si="45"/>
        <v>0.64334840000000004</v>
      </c>
      <c r="R114" s="78">
        <f t="shared" si="46"/>
        <v>2045</v>
      </c>
      <c r="S114" s="79">
        <f t="shared" si="47"/>
        <v>0.25925925925925924</v>
      </c>
      <c r="T114" s="80">
        <f t="shared" si="48"/>
        <v>0.63904244419614131</v>
      </c>
      <c r="U114" s="81">
        <f t="shared" si="49"/>
        <v>0.63904244419614131</v>
      </c>
      <c r="V114" s="82">
        <f t="shared" si="50"/>
        <v>0.58084884148782645</v>
      </c>
      <c r="W114" s="81">
        <f t="shared" si="51"/>
        <v>0.58084884148782645</v>
      </c>
      <c r="X114" s="46">
        <v>110</v>
      </c>
      <c r="Y114" s="83">
        <f t="shared" si="52"/>
        <v>1.4950453202258327</v>
      </c>
      <c r="Z114" s="84">
        <f t="shared" si="53"/>
        <v>1.4950453202258327</v>
      </c>
      <c r="AA114" s="83">
        <f t="shared" si="54"/>
        <v>1.6133291450595646</v>
      </c>
      <c r="AB114" s="84">
        <f t="shared" si="55"/>
        <v>1.6133291450595646</v>
      </c>
    </row>
    <row r="115" spans="1:28">
      <c r="A115" s="46">
        <v>111</v>
      </c>
      <c r="B115" s="47">
        <v>0.67425480000000004</v>
      </c>
      <c r="C115" s="48">
        <v>1.8814E-4</v>
      </c>
      <c r="D115" s="49">
        <v>9.2500000000000004E-4</v>
      </c>
      <c r="E115" s="50">
        <v>1</v>
      </c>
      <c r="F115" s="49">
        <v>1</v>
      </c>
      <c r="G115" s="46">
        <v>111</v>
      </c>
      <c r="H115" s="47">
        <v>0.66680479999999998</v>
      </c>
      <c r="I115" s="48">
        <v>3.8970239999999999E-4</v>
      </c>
      <c r="J115" s="49">
        <v>6.1862688000000002E-3</v>
      </c>
      <c r="K115" s="50">
        <v>1</v>
      </c>
      <c r="L115" s="49">
        <v>1</v>
      </c>
      <c r="M115" s="46">
        <v>111</v>
      </c>
      <c r="N115" s="75">
        <f t="shared" si="42"/>
        <v>0.67425480000000004</v>
      </c>
      <c r="O115" s="76">
        <f t="shared" si="43"/>
        <v>0.67425480000000004</v>
      </c>
      <c r="P115" s="76">
        <f t="shared" si="44"/>
        <v>0.66680479999999998</v>
      </c>
      <c r="Q115" s="77">
        <f t="shared" si="45"/>
        <v>0.66680479999999998</v>
      </c>
      <c r="R115" s="78">
        <f t="shared" si="46"/>
        <v>2046</v>
      </c>
      <c r="S115" s="79">
        <f t="shared" si="47"/>
        <v>0.25454545454545452</v>
      </c>
      <c r="T115" s="80">
        <f t="shared" si="48"/>
        <v>0.66046513778374749</v>
      </c>
      <c r="U115" s="81">
        <f t="shared" si="49"/>
        <v>0.66046513778374749</v>
      </c>
      <c r="V115" s="82">
        <f t="shared" si="50"/>
        <v>0.60179195014538966</v>
      </c>
      <c r="W115" s="81">
        <f t="shared" si="51"/>
        <v>0.60179195014538966</v>
      </c>
      <c r="X115" s="46">
        <v>111</v>
      </c>
      <c r="Y115" s="83">
        <f t="shared" si="52"/>
        <v>1.4263370436678979</v>
      </c>
      <c r="Z115" s="84">
        <f t="shared" si="53"/>
        <v>1.4263370436678979</v>
      </c>
      <c r="AA115" s="83">
        <f t="shared" si="54"/>
        <v>1.5217954141558732</v>
      </c>
      <c r="AB115" s="84">
        <f t="shared" si="55"/>
        <v>1.5217954141558732</v>
      </c>
    </row>
    <row r="116" spans="1:28">
      <c r="A116" s="46">
        <v>112</v>
      </c>
      <c r="B116" s="47">
        <v>0.6962566</v>
      </c>
      <c r="C116" s="48">
        <v>1.8814E-4</v>
      </c>
      <c r="D116" s="49">
        <v>9.2500000000000004E-4</v>
      </c>
      <c r="E116" s="50">
        <v>1</v>
      </c>
      <c r="F116" s="49">
        <v>1</v>
      </c>
      <c r="G116" s="46">
        <v>112</v>
      </c>
      <c r="H116" s="47">
        <v>0.69025820000000004</v>
      </c>
      <c r="I116" s="48">
        <v>3.8970239999999999E-4</v>
      </c>
      <c r="J116" s="49">
        <v>6.1862688000000002E-3</v>
      </c>
      <c r="K116" s="50">
        <v>1</v>
      </c>
      <c r="L116" s="49">
        <v>1</v>
      </c>
      <c r="M116" s="46">
        <v>112</v>
      </c>
      <c r="N116" s="75">
        <f t="shared" si="42"/>
        <v>0.6962566</v>
      </c>
      <c r="O116" s="76">
        <f t="shared" si="43"/>
        <v>0.6962566</v>
      </c>
      <c r="P116" s="76">
        <f t="shared" si="44"/>
        <v>0.69025820000000004</v>
      </c>
      <c r="Q116" s="77">
        <f t="shared" si="45"/>
        <v>0.69025820000000004</v>
      </c>
      <c r="R116" s="78">
        <f t="shared" si="46"/>
        <v>2047</v>
      </c>
      <c r="S116" s="79">
        <f t="shared" si="47"/>
        <v>0.25</v>
      </c>
      <c r="T116" s="80">
        <f t="shared" si="48"/>
        <v>0.68188866079529875</v>
      </c>
      <c r="U116" s="81">
        <f t="shared" si="49"/>
        <v>0.68188866079529875</v>
      </c>
      <c r="V116" s="82">
        <f t="shared" si="50"/>
        <v>0.62271594419788612</v>
      </c>
      <c r="W116" s="81">
        <f t="shared" si="51"/>
        <v>0.62271594419788612</v>
      </c>
      <c r="X116" s="46">
        <v>112</v>
      </c>
      <c r="Y116" s="83">
        <f t="shared" si="52"/>
        <v>1.3058762876968282</v>
      </c>
      <c r="Z116" s="84">
        <f t="shared" si="53"/>
        <v>1.3058762876968282</v>
      </c>
      <c r="AA116" s="83">
        <f t="shared" si="54"/>
        <v>1.3627731305789557</v>
      </c>
      <c r="AB116" s="84">
        <f t="shared" si="55"/>
        <v>1.3627731305789557</v>
      </c>
    </row>
    <row r="117" spans="1:28">
      <c r="A117" s="51">
        <v>113</v>
      </c>
      <c r="B117" s="52">
        <v>1</v>
      </c>
      <c r="C117" s="53">
        <v>0</v>
      </c>
      <c r="D117" s="54">
        <v>0</v>
      </c>
      <c r="E117" s="55">
        <v>1</v>
      </c>
      <c r="F117" s="54">
        <v>1</v>
      </c>
      <c r="G117" s="51">
        <v>113</v>
      </c>
      <c r="H117" s="52">
        <v>1</v>
      </c>
      <c r="I117" s="53">
        <v>0</v>
      </c>
      <c r="J117" s="54">
        <v>0</v>
      </c>
      <c r="K117" s="55">
        <v>1</v>
      </c>
      <c r="L117" s="54">
        <v>1</v>
      </c>
      <c r="M117" s="51">
        <v>113</v>
      </c>
      <c r="N117" s="85">
        <f t="shared" si="42"/>
        <v>1</v>
      </c>
      <c r="O117" s="86">
        <f t="shared" si="43"/>
        <v>1</v>
      </c>
      <c r="P117" s="86">
        <f t="shared" si="44"/>
        <v>1</v>
      </c>
      <c r="Q117" s="87">
        <f t="shared" si="45"/>
        <v>1</v>
      </c>
      <c r="R117" s="88">
        <f t="shared" si="46"/>
        <v>2048</v>
      </c>
      <c r="S117" s="89">
        <f t="shared" si="47"/>
        <v>0.24561403508771928</v>
      </c>
      <c r="T117" s="90">
        <f t="shared" si="48"/>
        <v>1</v>
      </c>
      <c r="U117" s="91">
        <f t="shared" si="49"/>
        <v>1</v>
      </c>
      <c r="V117" s="92">
        <f t="shared" si="50"/>
        <v>1</v>
      </c>
      <c r="W117" s="91">
        <f t="shared" si="51"/>
        <v>1</v>
      </c>
      <c r="X117" s="51">
        <v>113</v>
      </c>
      <c r="Y117" s="93">
        <v>1</v>
      </c>
      <c r="Z117" s="94">
        <v>1</v>
      </c>
      <c r="AA117" s="93">
        <v>1</v>
      </c>
      <c r="AB117" s="94">
        <v>1</v>
      </c>
    </row>
  </sheetData>
  <mergeCells count="6">
    <mergeCell ref="Y2:AB2"/>
    <mergeCell ref="A1:L1"/>
    <mergeCell ref="B2:F2"/>
    <mergeCell ref="H2:L2"/>
    <mergeCell ref="N2:Q2"/>
    <mergeCell ref="T2:W2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Roman,Standard"&amp;12&amp;A</oddHeader>
    <oddFooter>&amp;C&amp;"Times New Roman,Standard"&amp;12Seite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25"/>
  <sheetViews>
    <sheetView zoomScaleNormal="100" workbookViewId="0">
      <selection activeCell="S1" sqref="S1"/>
    </sheetView>
  </sheetViews>
  <sheetFormatPr baseColWidth="10" defaultColWidth="9.140625" defaultRowHeight="12.75"/>
  <cols>
    <col min="1" max="1" width="8" style="95"/>
    <col min="2" max="7" width="17.7109375" style="95"/>
    <col min="8" max="8" width="8" style="95"/>
    <col min="9" max="14" width="17.7109375" style="95"/>
    <col min="15" max="15" width="8" style="95"/>
    <col min="16" max="18" width="17.7109375" style="95"/>
    <col min="19" max="1025" width="11.42578125"/>
  </cols>
  <sheetData>
    <row r="1" spans="1:18" ht="24.2" customHeight="1">
      <c r="A1" s="5" t="s">
        <v>41</v>
      </c>
      <c r="B1" s="5"/>
      <c r="C1" s="5"/>
      <c r="D1" s="5"/>
      <c r="E1" s="5"/>
      <c r="F1" s="5"/>
      <c r="G1" s="5"/>
      <c r="H1" s="5" t="s">
        <v>42</v>
      </c>
      <c r="I1" s="5"/>
      <c r="J1" s="5"/>
      <c r="K1" s="5"/>
      <c r="L1" s="5"/>
      <c r="M1" s="5"/>
      <c r="N1" s="5"/>
      <c r="O1" s="4" t="s">
        <v>43</v>
      </c>
      <c r="P1" s="4"/>
      <c r="Q1" s="4"/>
      <c r="R1" s="4"/>
    </row>
    <row r="2" spans="1:18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</row>
    <row r="3" spans="1:18" ht="15.75">
      <c r="A3" s="96" t="s">
        <v>1</v>
      </c>
      <c r="B3" s="96" t="s">
        <v>44</v>
      </c>
      <c r="C3" s="96" t="s">
        <v>45</v>
      </c>
      <c r="D3" s="96" t="s">
        <v>46</v>
      </c>
      <c r="E3" s="96" t="s">
        <v>47</v>
      </c>
      <c r="F3" s="96" t="s">
        <v>48</v>
      </c>
      <c r="G3" s="96" t="s">
        <v>49</v>
      </c>
      <c r="H3" s="96"/>
      <c r="I3" s="96" t="s">
        <v>50</v>
      </c>
      <c r="J3" s="96" t="s">
        <v>51</v>
      </c>
      <c r="K3" s="96" t="s">
        <v>52</v>
      </c>
      <c r="L3" s="96" t="s">
        <v>53</v>
      </c>
      <c r="M3" s="96" t="s">
        <v>54</v>
      </c>
      <c r="N3" s="96" t="s">
        <v>55</v>
      </c>
      <c r="O3" s="96"/>
      <c r="P3" s="96" t="s">
        <v>56</v>
      </c>
      <c r="Q3" s="96" t="s">
        <v>57</v>
      </c>
      <c r="R3" s="96" t="s">
        <v>58</v>
      </c>
    </row>
    <row r="4" spans="1:18" ht="15">
      <c r="A4" s="97">
        <v>0</v>
      </c>
      <c r="B4" s="98">
        <v>4.2744000000000002E-3</v>
      </c>
      <c r="C4" s="98">
        <v>4.2744000000000002E-3</v>
      </c>
      <c r="D4" s="98">
        <v>0.05</v>
      </c>
      <c r="E4" s="98">
        <v>3.00856E-3</v>
      </c>
      <c r="F4" s="98">
        <v>3.00856E-3</v>
      </c>
      <c r="G4" s="99">
        <v>0.05</v>
      </c>
      <c r="H4" s="97">
        <v>0</v>
      </c>
      <c r="I4" s="98">
        <v>4.2744000000000002E-3</v>
      </c>
      <c r="J4" s="98">
        <v>4.2744000000000002E-3</v>
      </c>
      <c r="K4" s="98">
        <v>5.8061531466664998E-2</v>
      </c>
      <c r="L4" s="98">
        <v>3.196595E-3</v>
      </c>
      <c r="M4" s="98">
        <v>3.00856E-3</v>
      </c>
      <c r="N4" s="99">
        <v>5.51941064856084E-2</v>
      </c>
      <c r="O4" s="97">
        <v>0</v>
      </c>
      <c r="P4" s="98">
        <v>3.3883120000000001E-3</v>
      </c>
      <c r="Q4" s="98">
        <v>3.3883120000000001E-3</v>
      </c>
      <c r="R4" s="98">
        <v>0.05</v>
      </c>
    </row>
    <row r="5" spans="1:18" ht="15">
      <c r="A5" s="97">
        <v>1</v>
      </c>
      <c r="B5" s="98">
        <v>2.7616000000000001E-4</v>
      </c>
      <c r="C5" s="98">
        <v>2.7616000000000001E-4</v>
      </c>
      <c r="D5" s="98">
        <v>0.05</v>
      </c>
      <c r="E5" s="98">
        <v>2.6128000000000002E-4</v>
      </c>
      <c r="F5" s="98">
        <v>2.6128000000000002E-4</v>
      </c>
      <c r="G5" s="99">
        <v>0.05</v>
      </c>
      <c r="H5" s="97">
        <v>1</v>
      </c>
      <c r="I5" s="98">
        <v>2.7616000000000001E-4</v>
      </c>
      <c r="J5" s="98">
        <v>2.7616000000000001E-4</v>
      </c>
      <c r="K5" s="98">
        <v>5.4339405696995899E-2</v>
      </c>
      <c r="L5" s="98">
        <v>2.7761000000000002E-4</v>
      </c>
      <c r="M5" s="98">
        <v>2.6128000000000002E-4</v>
      </c>
      <c r="N5" s="99">
        <v>5.4231119735258002E-2</v>
      </c>
      <c r="O5" s="97">
        <v>1</v>
      </c>
      <c r="P5" s="98">
        <v>2.65744E-4</v>
      </c>
      <c r="Q5" s="98">
        <v>2.65744E-4</v>
      </c>
      <c r="R5" s="98">
        <v>0.05</v>
      </c>
    </row>
    <row r="6" spans="1:18" ht="15">
      <c r="A6" s="97">
        <v>2</v>
      </c>
      <c r="B6" s="98">
        <v>2.1112E-4</v>
      </c>
      <c r="C6" s="98">
        <v>2.1112E-4</v>
      </c>
      <c r="D6" s="98">
        <v>0.05</v>
      </c>
      <c r="E6" s="98">
        <v>1.6864000000000001E-4</v>
      </c>
      <c r="F6" s="98">
        <v>1.6864000000000001E-4</v>
      </c>
      <c r="G6" s="99">
        <v>0.05</v>
      </c>
      <c r="H6" s="97">
        <v>2</v>
      </c>
      <c r="I6" s="98">
        <v>2.1112E-4</v>
      </c>
      <c r="J6" s="98">
        <v>2.1112E-4</v>
      </c>
      <c r="K6" s="98">
        <v>5.1436276566698302E-2</v>
      </c>
      <c r="L6" s="98">
        <v>1.7918E-4</v>
      </c>
      <c r="M6" s="98">
        <v>1.6864000000000001E-4</v>
      </c>
      <c r="N6" s="99">
        <v>5.4070445787183598E-2</v>
      </c>
      <c r="O6" s="97">
        <v>2</v>
      </c>
      <c r="P6" s="98">
        <v>1.8138400000000001E-4</v>
      </c>
      <c r="Q6" s="98">
        <v>1.8138400000000001E-4</v>
      </c>
      <c r="R6" s="98">
        <v>0.05</v>
      </c>
    </row>
    <row r="7" spans="1:18" ht="15">
      <c r="A7" s="97">
        <v>3</v>
      </c>
      <c r="B7" s="98">
        <v>1.5872E-4</v>
      </c>
      <c r="C7" s="98">
        <v>1.5872E-4</v>
      </c>
      <c r="D7" s="98">
        <v>0.05</v>
      </c>
      <c r="E7" s="98">
        <v>1.0543999999999999E-4</v>
      </c>
      <c r="F7" s="98">
        <v>1.0543999999999999E-4</v>
      </c>
      <c r="G7" s="99">
        <v>0.05</v>
      </c>
      <c r="H7" s="97">
        <v>3</v>
      </c>
      <c r="I7" s="98">
        <v>1.5872E-4</v>
      </c>
      <c r="J7" s="98">
        <v>1.5872E-4</v>
      </c>
      <c r="K7" s="98">
        <v>4.9831391654251302E-2</v>
      </c>
      <c r="L7" s="98">
        <v>1.1203E-4</v>
      </c>
      <c r="M7" s="98">
        <v>1.0543999999999999E-4</v>
      </c>
      <c r="N7" s="99">
        <v>5.3942943159721098E-2</v>
      </c>
      <c r="O7" s="97">
        <v>3</v>
      </c>
      <c r="P7" s="98">
        <v>1.2142399999999999E-4</v>
      </c>
      <c r="Q7" s="98">
        <v>1.2142399999999999E-4</v>
      </c>
      <c r="R7" s="98">
        <v>0.05</v>
      </c>
    </row>
    <row r="8" spans="1:18" ht="15">
      <c r="A8" s="97">
        <v>4</v>
      </c>
      <c r="B8" s="98">
        <v>1.2095999999999999E-4</v>
      </c>
      <c r="C8" s="98">
        <v>1.2095999999999999E-4</v>
      </c>
      <c r="D8" s="98">
        <v>0.05</v>
      </c>
      <c r="E8" s="98">
        <v>7.9759999999999995E-5</v>
      </c>
      <c r="F8" s="98">
        <v>7.9759999999999995E-5</v>
      </c>
      <c r="G8" s="99">
        <v>0.05</v>
      </c>
      <c r="H8" s="97">
        <v>4</v>
      </c>
      <c r="I8" s="98">
        <v>1.2095999999999999E-4</v>
      </c>
      <c r="J8" s="98">
        <v>1.2095999999999999E-4</v>
      </c>
      <c r="K8" s="98">
        <v>4.9902171410383098E-2</v>
      </c>
      <c r="L8" s="98">
        <v>8.4745000000000003E-5</v>
      </c>
      <c r="M8" s="98">
        <v>7.9759999999999995E-5</v>
      </c>
      <c r="N8" s="99">
        <v>5.3716255965820497E-2</v>
      </c>
      <c r="O8" s="97">
        <v>4</v>
      </c>
      <c r="P8" s="98">
        <v>9.2120000000000006E-5</v>
      </c>
      <c r="Q8" s="98">
        <v>9.2120000000000006E-5</v>
      </c>
      <c r="R8" s="98">
        <v>0.05</v>
      </c>
    </row>
    <row r="9" spans="1:18" ht="15">
      <c r="A9" s="97">
        <v>5</v>
      </c>
      <c r="B9" s="98">
        <v>1.036E-4</v>
      </c>
      <c r="C9" s="98">
        <v>1.036E-4</v>
      </c>
      <c r="D9" s="98">
        <v>0.05</v>
      </c>
      <c r="E9" s="98">
        <v>6.8639999999999993E-5</v>
      </c>
      <c r="F9" s="98">
        <v>6.8639999999999993E-5</v>
      </c>
      <c r="G9" s="99">
        <v>0.05</v>
      </c>
      <c r="H9" s="97">
        <v>5</v>
      </c>
      <c r="I9" s="98">
        <v>1.036E-4</v>
      </c>
      <c r="J9" s="98">
        <v>1.036E-4</v>
      </c>
      <c r="K9" s="98">
        <v>5.1335498794986202E-2</v>
      </c>
      <c r="L9" s="98">
        <v>7.2929999999999995E-5</v>
      </c>
      <c r="M9" s="98">
        <v>6.8639999999999993E-5</v>
      </c>
      <c r="N9" s="99">
        <v>5.2836105603253899E-2</v>
      </c>
      <c r="O9" s="97">
        <v>5</v>
      </c>
      <c r="P9" s="98">
        <v>7.9128000000000005E-5</v>
      </c>
      <c r="Q9" s="98">
        <v>7.9128000000000005E-5</v>
      </c>
      <c r="R9" s="98">
        <v>0.05</v>
      </c>
    </row>
    <row r="10" spans="1:18" ht="15">
      <c r="A10" s="97">
        <v>6</v>
      </c>
      <c r="B10" s="98">
        <v>9.8079999999999996E-5</v>
      </c>
      <c r="C10" s="98">
        <v>9.8079999999999996E-5</v>
      </c>
      <c r="D10" s="98">
        <v>0.05</v>
      </c>
      <c r="E10" s="98">
        <v>6.8079999999999999E-5</v>
      </c>
      <c r="F10" s="98">
        <v>6.8079999999999999E-5</v>
      </c>
      <c r="G10" s="99">
        <v>0.05</v>
      </c>
      <c r="H10" s="97">
        <v>6</v>
      </c>
      <c r="I10" s="98">
        <v>9.8079999999999996E-5</v>
      </c>
      <c r="J10" s="98">
        <v>9.8079999999999996E-5</v>
      </c>
      <c r="K10" s="98">
        <v>5.2972292138559203E-2</v>
      </c>
      <c r="L10" s="98">
        <v>7.2335000000000005E-5</v>
      </c>
      <c r="M10" s="98">
        <v>6.8079999999999999E-5</v>
      </c>
      <c r="N10" s="99">
        <v>5.0024387578621397E-2</v>
      </c>
      <c r="O10" s="97">
        <v>6</v>
      </c>
      <c r="P10" s="98">
        <v>7.7080000000000001E-5</v>
      </c>
      <c r="Q10" s="98">
        <v>7.7080000000000001E-5</v>
      </c>
      <c r="R10" s="98">
        <v>0.05</v>
      </c>
    </row>
    <row r="11" spans="1:18" ht="15">
      <c r="A11" s="97">
        <v>7</v>
      </c>
      <c r="B11" s="98">
        <v>9.3599999999999998E-5</v>
      </c>
      <c r="C11" s="98">
        <v>9.3599999999999998E-5</v>
      </c>
      <c r="D11" s="98">
        <v>0.05</v>
      </c>
      <c r="E11" s="98">
        <v>7.2000000000000002E-5</v>
      </c>
      <c r="F11" s="98">
        <v>7.2000000000000002E-5</v>
      </c>
      <c r="G11" s="99">
        <v>4.8881640835953401E-2</v>
      </c>
      <c r="H11" s="97">
        <v>7</v>
      </c>
      <c r="I11" s="98">
        <v>9.3599999999999998E-5</v>
      </c>
      <c r="J11" s="98">
        <v>9.3599999999999998E-5</v>
      </c>
      <c r="K11" s="98">
        <v>5.3572585535099901E-2</v>
      </c>
      <c r="L11" s="98">
        <v>7.6500000000000003E-5</v>
      </c>
      <c r="M11" s="98">
        <v>7.2000000000000002E-5</v>
      </c>
      <c r="N11" s="99">
        <v>4.5881640835953398E-2</v>
      </c>
      <c r="O11" s="97">
        <v>7</v>
      </c>
      <c r="P11" s="98">
        <v>7.8473994246729494E-5</v>
      </c>
      <c r="Q11" s="98">
        <v>7.8473994246729494E-5</v>
      </c>
      <c r="R11" s="98">
        <v>4.9288566918845797E-2</v>
      </c>
    </row>
    <row r="12" spans="1:18" ht="15">
      <c r="A12" s="97">
        <v>8</v>
      </c>
      <c r="B12" s="98">
        <v>8.8480000000000007E-5</v>
      </c>
      <c r="C12" s="98">
        <v>8.8480000000000007E-5</v>
      </c>
      <c r="D12" s="98">
        <v>0.05</v>
      </c>
      <c r="E12" s="98">
        <v>7.4079999999999995E-5</v>
      </c>
      <c r="F12" s="98">
        <v>7.4079999999999995E-5</v>
      </c>
      <c r="G12" s="99">
        <v>4.4497293704924001E-2</v>
      </c>
      <c r="H12" s="97">
        <v>8</v>
      </c>
      <c r="I12" s="98">
        <v>8.8480000000000007E-5</v>
      </c>
      <c r="J12" s="98">
        <v>8.8480000000000007E-5</v>
      </c>
      <c r="K12" s="98">
        <v>5.2521785752795001E-2</v>
      </c>
      <c r="L12" s="98">
        <v>7.8709999999999997E-5</v>
      </c>
      <c r="M12" s="98">
        <v>7.4079999999999995E-5</v>
      </c>
      <c r="N12" s="99">
        <v>4.1497293704923999E-2</v>
      </c>
      <c r="O12" s="97">
        <v>8</v>
      </c>
      <c r="P12" s="98">
        <v>7.8267602706143797E-5</v>
      </c>
      <c r="Q12" s="98">
        <v>7.8267602706143797E-5</v>
      </c>
      <c r="R12" s="98">
        <v>4.65162575956133E-2</v>
      </c>
    </row>
    <row r="13" spans="1:18" ht="15">
      <c r="A13" s="97">
        <v>9</v>
      </c>
      <c r="B13" s="98">
        <v>8.9120000000000001E-5</v>
      </c>
      <c r="C13" s="98">
        <v>8.9120000000000001E-5</v>
      </c>
      <c r="D13" s="98">
        <v>0.05</v>
      </c>
      <c r="E13" s="98">
        <v>7.4720000000000003E-5</v>
      </c>
      <c r="F13" s="98">
        <v>7.4720000000000003E-5</v>
      </c>
      <c r="G13" s="99">
        <v>4.1288355911912898E-2</v>
      </c>
      <c r="H13" s="97">
        <v>9</v>
      </c>
      <c r="I13" s="98">
        <v>8.9120000000000001E-5</v>
      </c>
      <c r="J13" s="98">
        <v>8.9120000000000001E-5</v>
      </c>
      <c r="K13" s="98">
        <v>5.0354400235367199E-2</v>
      </c>
      <c r="L13" s="98">
        <v>7.9389999999999997E-5</v>
      </c>
      <c r="M13" s="98">
        <v>7.4720000000000003E-5</v>
      </c>
      <c r="N13" s="99">
        <v>3.8288355911912902E-2</v>
      </c>
      <c r="O13" s="97">
        <v>9</v>
      </c>
      <c r="P13" s="98">
        <v>7.8731370668686001E-5</v>
      </c>
      <c r="Q13" s="98">
        <v>7.8731370668686001E-5</v>
      </c>
      <c r="R13" s="98">
        <v>4.46126877520273E-2</v>
      </c>
    </row>
    <row r="14" spans="1:18" ht="15">
      <c r="A14" s="97">
        <v>10</v>
      </c>
      <c r="B14" s="98">
        <v>9.1039999999999996E-5</v>
      </c>
      <c r="C14" s="98">
        <v>9.1039999999999996E-5</v>
      </c>
      <c r="D14" s="98">
        <v>0.05</v>
      </c>
      <c r="E14" s="98">
        <v>7.6959999999999995E-5</v>
      </c>
      <c r="F14" s="98">
        <v>7.6959999999999995E-5</v>
      </c>
      <c r="G14" s="99">
        <v>3.9286450972352199E-2</v>
      </c>
      <c r="H14" s="97">
        <v>10</v>
      </c>
      <c r="I14" s="98">
        <v>9.1039999999999996E-5</v>
      </c>
      <c r="J14" s="98">
        <v>9.1039999999999996E-5</v>
      </c>
      <c r="K14" s="98">
        <v>4.85671342813596E-2</v>
      </c>
      <c r="L14" s="98">
        <v>8.1769999999999998E-5</v>
      </c>
      <c r="M14" s="98">
        <v>7.6959999999999995E-5</v>
      </c>
      <c r="N14" s="99">
        <v>3.6286450972352197E-2</v>
      </c>
      <c r="O14" s="97">
        <v>10</v>
      </c>
      <c r="P14" s="98">
        <v>8.0747110106414306E-5</v>
      </c>
      <c r="Q14" s="98">
        <v>8.0747110106414306E-5</v>
      </c>
      <c r="R14" s="98">
        <v>4.3437682379431498E-2</v>
      </c>
    </row>
    <row r="15" spans="1:18" ht="15">
      <c r="A15" s="97">
        <v>11</v>
      </c>
      <c r="B15" s="98">
        <v>9.0400000000000002E-5</v>
      </c>
      <c r="C15" s="98">
        <v>9.0400000000000002E-5</v>
      </c>
      <c r="D15" s="98">
        <v>0.05</v>
      </c>
      <c r="E15" s="98">
        <v>8.1199999999999995E-5</v>
      </c>
      <c r="F15" s="98">
        <v>8.1199999999999995E-5</v>
      </c>
      <c r="G15" s="99">
        <v>3.7361290807443201E-2</v>
      </c>
      <c r="H15" s="97">
        <v>11</v>
      </c>
      <c r="I15" s="98">
        <v>9.0400000000000002E-5</v>
      </c>
      <c r="J15" s="98">
        <v>9.0400000000000002E-5</v>
      </c>
      <c r="K15" s="98">
        <v>4.7167457793015899E-2</v>
      </c>
      <c r="L15" s="98">
        <v>8.6274999999999996E-5</v>
      </c>
      <c r="M15" s="98">
        <v>8.1199999999999995E-5</v>
      </c>
      <c r="N15" s="99">
        <v>3.4361290807443198E-2</v>
      </c>
      <c r="O15" s="97">
        <v>11</v>
      </c>
      <c r="P15" s="98">
        <v>8.3398572008516403E-5</v>
      </c>
      <c r="Q15" s="98">
        <v>8.3398572008516403E-5</v>
      </c>
      <c r="R15" s="98">
        <v>4.2159912026332E-2</v>
      </c>
    </row>
    <row r="16" spans="1:18" ht="15">
      <c r="A16" s="97">
        <v>12</v>
      </c>
      <c r="B16" s="98">
        <v>9.2E-5</v>
      </c>
      <c r="C16" s="98">
        <v>9.2E-5</v>
      </c>
      <c r="D16" s="98">
        <v>4.8544846351029097E-2</v>
      </c>
      <c r="E16" s="98">
        <v>8.776E-5</v>
      </c>
      <c r="F16" s="98">
        <v>8.776E-5</v>
      </c>
      <c r="G16" s="99">
        <v>3.5613378892136303E-2</v>
      </c>
      <c r="H16" s="97">
        <v>12</v>
      </c>
      <c r="I16" s="98">
        <v>9.2E-5</v>
      </c>
      <c r="J16" s="98">
        <v>9.2E-5</v>
      </c>
      <c r="K16" s="98">
        <v>4.5544846351029102E-2</v>
      </c>
      <c r="L16" s="98">
        <v>9.3245000000000006E-5</v>
      </c>
      <c r="M16" s="98">
        <v>8.776E-5</v>
      </c>
      <c r="N16" s="99">
        <v>3.2613378892136301E-2</v>
      </c>
      <c r="O16" s="97">
        <v>12</v>
      </c>
      <c r="P16" s="98">
        <v>8.8482526287560201E-5</v>
      </c>
      <c r="Q16" s="98">
        <v>8.8482526287560201E-5</v>
      </c>
      <c r="R16" s="98">
        <v>4.0321446833661803E-2</v>
      </c>
    </row>
    <row r="17" spans="1:18" ht="15">
      <c r="A17" s="97">
        <v>13</v>
      </c>
      <c r="B17" s="98">
        <v>1.1424E-4</v>
      </c>
      <c r="C17" s="98">
        <v>1.1424E-4</v>
      </c>
      <c r="D17" s="98">
        <v>4.71081810575084E-2</v>
      </c>
      <c r="E17" s="98">
        <v>1.0344E-4</v>
      </c>
      <c r="F17" s="98">
        <v>1.0344E-4</v>
      </c>
      <c r="G17" s="99">
        <v>3.44611144124694E-2</v>
      </c>
      <c r="H17" s="97">
        <v>13</v>
      </c>
      <c r="I17" s="98">
        <v>1.1424E-4</v>
      </c>
      <c r="J17" s="98">
        <v>1.1424E-4</v>
      </c>
      <c r="K17" s="98">
        <v>4.4108181057508397E-2</v>
      </c>
      <c r="L17" s="98">
        <v>1.09905E-4</v>
      </c>
      <c r="M17" s="98">
        <v>1.0344E-4</v>
      </c>
      <c r="N17" s="99">
        <v>3.1461114412469397E-2</v>
      </c>
      <c r="O17" s="97">
        <v>13</v>
      </c>
      <c r="P17" s="98">
        <v>1.06111140763526E-4</v>
      </c>
      <c r="Q17" s="98">
        <v>1.06111140763526E-4</v>
      </c>
      <c r="R17" s="98">
        <v>3.9167361085112699E-2</v>
      </c>
    </row>
    <row r="18" spans="1:18" ht="15">
      <c r="A18" s="97">
        <v>14</v>
      </c>
      <c r="B18" s="98">
        <v>1.7736E-4</v>
      </c>
      <c r="C18" s="98">
        <v>1.7736E-4</v>
      </c>
      <c r="D18" s="98">
        <v>4.5472100620670697E-2</v>
      </c>
      <c r="E18" s="98">
        <v>1.3352000000000001E-4</v>
      </c>
      <c r="F18" s="98">
        <v>1.3352000000000001E-4</v>
      </c>
      <c r="G18" s="99">
        <v>3.37711569484547E-2</v>
      </c>
      <c r="H18" s="97">
        <v>14</v>
      </c>
      <c r="I18" s="98">
        <v>1.7736E-4</v>
      </c>
      <c r="J18" s="98">
        <v>1.7736E-4</v>
      </c>
      <c r="K18" s="98">
        <v>4.2472100620670701E-2</v>
      </c>
      <c r="L18" s="98">
        <v>1.41865E-4</v>
      </c>
      <c r="M18" s="98">
        <v>1.3352000000000001E-4</v>
      </c>
      <c r="N18" s="99">
        <v>3.0771156948454701E-2</v>
      </c>
      <c r="O18" s="97">
        <v>14</v>
      </c>
      <c r="P18" s="98">
        <v>1.4605389474101001E-4</v>
      </c>
      <c r="Q18" s="98">
        <v>1.4605389474101001E-4</v>
      </c>
      <c r="R18" s="98">
        <v>3.8560787686914802E-2</v>
      </c>
    </row>
    <row r="19" spans="1:18" ht="15">
      <c r="A19" s="97">
        <v>15</v>
      </c>
      <c r="B19" s="98">
        <v>2.9431999999999999E-4</v>
      </c>
      <c r="C19" s="98">
        <v>2.9431999999999999E-4</v>
      </c>
      <c r="D19" s="98">
        <v>4.3282384072982703E-2</v>
      </c>
      <c r="E19" s="98">
        <v>1.6656E-4</v>
      </c>
      <c r="F19" s="98">
        <v>1.6656E-4</v>
      </c>
      <c r="G19" s="99">
        <v>3.31606078259385E-2</v>
      </c>
      <c r="H19" s="97">
        <v>15</v>
      </c>
      <c r="I19" s="98">
        <v>2.9431999999999999E-4</v>
      </c>
      <c r="J19" s="98">
        <v>2.9431999999999999E-4</v>
      </c>
      <c r="K19" s="98">
        <v>4.0282384072982701E-2</v>
      </c>
      <c r="L19" s="98">
        <v>1.7697000000000001E-4</v>
      </c>
      <c r="M19" s="98">
        <v>1.6656E-4</v>
      </c>
      <c r="N19" s="99">
        <v>3.0160607825938501E-2</v>
      </c>
      <c r="O19" s="97">
        <v>15</v>
      </c>
      <c r="P19" s="98">
        <v>2.0429841497102201E-4</v>
      </c>
      <c r="Q19" s="98">
        <v>2.0429841497102201E-4</v>
      </c>
      <c r="R19" s="98">
        <v>3.7923857918707102E-2</v>
      </c>
    </row>
    <row r="20" spans="1:18" ht="15">
      <c r="A20" s="97">
        <v>16</v>
      </c>
      <c r="B20" s="98">
        <v>4.5048000000000001E-4</v>
      </c>
      <c r="C20" s="98">
        <v>4.5048000000000001E-4</v>
      </c>
      <c r="D20" s="98">
        <v>4.0633916845894097E-2</v>
      </c>
      <c r="E20" s="98">
        <v>1.9864000000000001E-4</v>
      </c>
      <c r="F20" s="98">
        <v>1.9864000000000001E-4</v>
      </c>
      <c r="G20" s="99">
        <v>3.2436887333160101E-2</v>
      </c>
      <c r="H20" s="97">
        <v>16</v>
      </c>
      <c r="I20" s="98">
        <v>4.5048000000000001E-4</v>
      </c>
      <c r="J20" s="98">
        <v>4.5048000000000001E-4</v>
      </c>
      <c r="K20" s="98">
        <v>3.7633916845894101E-2</v>
      </c>
      <c r="L20" s="98">
        <v>2.11055E-4</v>
      </c>
      <c r="M20" s="98">
        <v>1.9864000000000001E-4</v>
      </c>
      <c r="N20" s="99">
        <v>2.9436887333160099E-2</v>
      </c>
      <c r="O20" s="97">
        <v>16</v>
      </c>
      <c r="P20" s="98">
        <v>2.7373973208216703E-4</v>
      </c>
      <c r="Q20" s="98">
        <v>2.7373973208216703E-4</v>
      </c>
      <c r="R20" s="98">
        <v>3.6726380353113097E-2</v>
      </c>
    </row>
    <row r="21" spans="1:18" ht="15">
      <c r="A21" s="97">
        <v>17</v>
      </c>
      <c r="B21" s="98">
        <v>6.1952000000000003E-4</v>
      </c>
      <c r="C21" s="98">
        <v>6.1952000000000003E-4</v>
      </c>
      <c r="D21" s="98">
        <v>3.7322800889046999E-2</v>
      </c>
      <c r="E21" s="98">
        <v>2.3903999999999999E-4</v>
      </c>
      <c r="F21" s="98">
        <v>2.3903999999999999E-4</v>
      </c>
      <c r="G21" s="99">
        <v>3.1241568686902199E-2</v>
      </c>
      <c r="H21" s="97">
        <v>17</v>
      </c>
      <c r="I21" s="98">
        <v>6.1952000000000003E-4</v>
      </c>
      <c r="J21" s="98">
        <v>6.1952000000000003E-4</v>
      </c>
      <c r="K21" s="98">
        <v>3.4322800889047003E-2</v>
      </c>
      <c r="L21" s="98">
        <v>2.5398E-4</v>
      </c>
      <c r="M21" s="98">
        <v>2.3903999999999999E-4</v>
      </c>
      <c r="N21" s="99">
        <v>2.82415686869022E-2</v>
      </c>
      <c r="O21" s="97">
        <v>17</v>
      </c>
      <c r="P21" s="98">
        <v>3.5291076954499902E-4</v>
      </c>
      <c r="Q21" s="98">
        <v>3.5291076954499902E-4</v>
      </c>
      <c r="R21" s="98">
        <v>3.4569251531859399E-2</v>
      </c>
    </row>
    <row r="22" spans="1:18" ht="15">
      <c r="A22" s="97">
        <v>18</v>
      </c>
      <c r="B22" s="98">
        <v>7.5807999999999995E-4</v>
      </c>
      <c r="C22" s="98">
        <v>7.5807999999999995E-4</v>
      </c>
      <c r="D22" s="98">
        <v>3.41904276276448E-2</v>
      </c>
      <c r="E22" s="98">
        <v>2.676E-4</v>
      </c>
      <c r="F22" s="98">
        <v>2.676E-4</v>
      </c>
      <c r="G22" s="99">
        <v>3.1178286868628599E-2</v>
      </c>
      <c r="H22" s="97">
        <v>18</v>
      </c>
      <c r="I22" s="98">
        <v>7.5807999999999995E-4</v>
      </c>
      <c r="J22" s="98">
        <v>7.5807999999999995E-4</v>
      </c>
      <c r="K22" s="98">
        <v>3.11904276276448E-2</v>
      </c>
      <c r="L22" s="98">
        <v>2.8432499999999999E-4</v>
      </c>
      <c r="M22" s="98">
        <v>2.676E-4</v>
      </c>
      <c r="N22" s="99">
        <v>2.68665124135983E-2</v>
      </c>
      <c r="O22" s="97">
        <v>18</v>
      </c>
      <c r="P22" s="98">
        <v>4.1467793569955599E-4</v>
      </c>
      <c r="Q22" s="98">
        <v>4.1467793569955599E-4</v>
      </c>
      <c r="R22" s="98">
        <v>3.2858904976688197E-2</v>
      </c>
    </row>
    <row r="23" spans="1:18" ht="15">
      <c r="A23" s="97">
        <v>19</v>
      </c>
      <c r="B23" s="98">
        <v>8.1656000000000003E-4</v>
      </c>
      <c r="C23" s="98">
        <v>8.1656000000000003E-4</v>
      </c>
      <c r="D23" s="98">
        <v>3.1814566962463202E-2</v>
      </c>
      <c r="E23" s="98">
        <v>2.7040000000000001E-4</v>
      </c>
      <c r="F23" s="98">
        <v>2.7040000000000001E-4</v>
      </c>
      <c r="G23" s="99">
        <v>3.1115005050354999E-2</v>
      </c>
      <c r="H23" s="97">
        <v>19</v>
      </c>
      <c r="I23" s="98">
        <v>8.1656000000000003E-4</v>
      </c>
      <c r="J23" s="98">
        <v>8.1656000000000003E-4</v>
      </c>
      <c r="K23" s="98">
        <v>2.8814566962463199E-2</v>
      </c>
      <c r="L23" s="98">
        <v>2.8729999999999999E-4</v>
      </c>
      <c r="M23" s="98">
        <v>2.7040000000000001E-4</v>
      </c>
      <c r="N23" s="99">
        <v>2.5811140053497099E-2</v>
      </c>
      <c r="O23" s="97">
        <v>19</v>
      </c>
      <c r="P23" s="98">
        <v>4.3424492750925101E-4</v>
      </c>
      <c r="Q23" s="98">
        <v>4.3424492750925101E-4</v>
      </c>
      <c r="R23" s="98">
        <v>3.1511074770630497E-2</v>
      </c>
    </row>
    <row r="24" spans="1:18" ht="15">
      <c r="A24" s="97">
        <v>20</v>
      </c>
      <c r="B24" s="98">
        <v>8.2144E-4</v>
      </c>
      <c r="C24" s="98">
        <v>8.2144E-4</v>
      </c>
      <c r="D24" s="98">
        <v>3.0206580490176299E-2</v>
      </c>
      <c r="E24" s="98">
        <v>2.5871999999999999E-4</v>
      </c>
      <c r="F24" s="98">
        <v>2.5871999999999999E-4</v>
      </c>
      <c r="G24" s="99">
        <v>3.1051723232081298E-2</v>
      </c>
      <c r="H24" s="97">
        <v>20</v>
      </c>
      <c r="I24" s="98">
        <v>8.2144E-4</v>
      </c>
      <c r="J24" s="98">
        <v>8.2144E-4</v>
      </c>
      <c r="K24" s="98">
        <v>2.72065804901763E-2</v>
      </c>
      <c r="L24" s="98">
        <v>2.7489000000000002E-4</v>
      </c>
      <c r="M24" s="98">
        <v>2.5871999999999999E-4</v>
      </c>
      <c r="N24" s="99">
        <v>2.4869421060333002E-2</v>
      </c>
      <c r="O24" s="97">
        <v>20</v>
      </c>
      <c r="P24" s="98">
        <v>4.2753245211104099E-4</v>
      </c>
      <c r="Q24" s="98">
        <v>4.2753245211104099E-4</v>
      </c>
      <c r="R24" s="98">
        <v>3.0566489902074199E-2</v>
      </c>
    </row>
    <row r="25" spans="1:18" ht="15">
      <c r="A25" s="97">
        <v>21</v>
      </c>
      <c r="B25" s="98">
        <v>8.1912E-4</v>
      </c>
      <c r="C25" s="98">
        <v>8.1912E-4</v>
      </c>
      <c r="D25" s="98">
        <v>3.0156940360077902E-2</v>
      </c>
      <c r="E25" s="98">
        <v>2.4656E-4</v>
      </c>
      <c r="F25" s="98">
        <v>2.4656E-4</v>
      </c>
      <c r="G25" s="99">
        <v>3.0988441413807698E-2</v>
      </c>
      <c r="H25" s="97">
        <v>21</v>
      </c>
      <c r="I25" s="98">
        <v>8.1912E-4</v>
      </c>
      <c r="J25" s="98">
        <v>8.1912E-4</v>
      </c>
      <c r="K25" s="98">
        <v>2.59433319505929E-2</v>
      </c>
      <c r="L25" s="98">
        <v>2.6196999999999999E-4</v>
      </c>
      <c r="M25" s="98">
        <v>2.4656E-4</v>
      </c>
      <c r="N25" s="99">
        <v>2.4559793167069299E-2</v>
      </c>
      <c r="O25" s="97">
        <v>21</v>
      </c>
      <c r="P25" s="98">
        <v>4.1832539051207801E-4</v>
      </c>
      <c r="Q25" s="98">
        <v>4.1832539051207801E-4</v>
      </c>
      <c r="R25" s="98">
        <v>3.0501664839759999E-2</v>
      </c>
    </row>
    <row r="26" spans="1:18" ht="15">
      <c r="A26" s="97">
        <v>22</v>
      </c>
      <c r="B26" s="98">
        <v>8.1327999999999999E-4</v>
      </c>
      <c r="C26" s="98">
        <v>8.1327999999999999E-4</v>
      </c>
      <c r="D26" s="98">
        <v>3.0107300229979501E-2</v>
      </c>
      <c r="E26" s="98">
        <v>2.3784000000000001E-4</v>
      </c>
      <c r="F26" s="98">
        <v>2.3784000000000001E-4</v>
      </c>
      <c r="G26" s="99">
        <v>3.0925159595534098E-2</v>
      </c>
      <c r="H26" s="97">
        <v>22</v>
      </c>
      <c r="I26" s="98">
        <v>8.1327999999999999E-4</v>
      </c>
      <c r="J26" s="98">
        <v>8.1327999999999999E-4</v>
      </c>
      <c r="K26" s="98">
        <v>2.4884970716712598E-2</v>
      </c>
      <c r="L26" s="98">
        <v>2.5270499999999999E-4</v>
      </c>
      <c r="M26" s="98">
        <v>2.3784000000000001E-4</v>
      </c>
      <c r="N26" s="99">
        <v>2.4649955729395701E-2</v>
      </c>
      <c r="O26" s="97">
        <v>22</v>
      </c>
      <c r="P26" s="98">
        <v>4.1047015784037599E-4</v>
      </c>
      <c r="Q26" s="98">
        <v>4.1047015784037599E-4</v>
      </c>
      <c r="R26" s="98">
        <v>3.0440470095295501E-2</v>
      </c>
    </row>
    <row r="27" spans="1:18" ht="15">
      <c r="A27" s="97">
        <v>23</v>
      </c>
      <c r="B27" s="98">
        <v>8.0488000000000001E-4</v>
      </c>
      <c r="C27" s="98">
        <v>8.0488000000000001E-4</v>
      </c>
      <c r="D27" s="98">
        <v>3.00576600998812E-2</v>
      </c>
      <c r="E27" s="98">
        <v>2.2647999999999999E-4</v>
      </c>
      <c r="F27" s="98">
        <v>2.2647999999999999E-4</v>
      </c>
      <c r="G27" s="99">
        <v>3.0861877777260401E-2</v>
      </c>
      <c r="H27" s="97">
        <v>23</v>
      </c>
      <c r="I27" s="98">
        <v>8.0488000000000001E-4</v>
      </c>
      <c r="J27" s="98">
        <v>8.0488000000000001E-4</v>
      </c>
      <c r="K27" s="98">
        <v>2.3833562318475499E-2</v>
      </c>
      <c r="L27" s="98">
        <v>2.40635E-4</v>
      </c>
      <c r="M27" s="98">
        <v>2.2647999999999999E-4</v>
      </c>
      <c r="N27" s="99">
        <v>2.5559041004390801E-2</v>
      </c>
      <c r="O27" s="97">
        <v>23</v>
      </c>
      <c r="P27" s="98">
        <v>3.9999879905115699E-4</v>
      </c>
      <c r="Q27" s="98">
        <v>3.9999879905115699E-4</v>
      </c>
      <c r="R27" s="98">
        <v>3.0377636908177401E-2</v>
      </c>
    </row>
    <row r="28" spans="1:18" ht="15">
      <c r="A28" s="97">
        <v>24</v>
      </c>
      <c r="B28" s="98">
        <v>7.9976000000000005E-4</v>
      </c>
      <c r="C28" s="98">
        <v>7.9976000000000005E-4</v>
      </c>
      <c r="D28" s="98">
        <v>3.00080199697828E-2</v>
      </c>
      <c r="E28" s="98">
        <v>2.1583999999999999E-4</v>
      </c>
      <c r="F28" s="98">
        <v>2.1583999999999999E-4</v>
      </c>
      <c r="G28" s="99">
        <v>3.0798595958986801E-2</v>
      </c>
      <c r="H28" s="97">
        <v>24</v>
      </c>
      <c r="I28" s="98">
        <v>7.9976000000000005E-4</v>
      </c>
      <c r="J28" s="98">
        <v>7.9976000000000005E-4</v>
      </c>
      <c r="K28" s="98">
        <v>2.29739499497548E-2</v>
      </c>
      <c r="L28" s="98">
        <v>2.2933E-4</v>
      </c>
      <c r="M28" s="98">
        <v>2.1583999999999999E-4</v>
      </c>
      <c r="N28" s="99">
        <v>2.6651164465546301E-2</v>
      </c>
      <c r="O28" s="97">
        <v>24</v>
      </c>
      <c r="P28" s="98">
        <v>3.9101530750661499E-4</v>
      </c>
      <c r="Q28" s="98">
        <v>3.9101530750661499E-4</v>
      </c>
      <c r="R28" s="98">
        <v>3.03145311631286E-2</v>
      </c>
    </row>
    <row r="29" spans="1:18" ht="15">
      <c r="A29" s="97">
        <v>25</v>
      </c>
      <c r="B29" s="98">
        <v>7.9783999999999996E-4</v>
      </c>
      <c r="C29" s="98">
        <v>7.9783999999999996E-4</v>
      </c>
      <c r="D29" s="98">
        <v>2.9958379839684399E-2</v>
      </c>
      <c r="E29" s="98">
        <v>2.1560000000000001E-4</v>
      </c>
      <c r="F29" s="98">
        <v>2.1560000000000001E-4</v>
      </c>
      <c r="G29" s="99">
        <v>3.0735314140713201E-2</v>
      </c>
      <c r="H29" s="97">
        <v>25</v>
      </c>
      <c r="I29" s="98">
        <v>7.9783999999999996E-4</v>
      </c>
      <c r="J29" s="98">
        <v>7.9783999999999996E-4</v>
      </c>
      <c r="K29" s="98">
        <v>2.2786809415554901E-2</v>
      </c>
      <c r="L29" s="98">
        <v>2.29075E-4</v>
      </c>
      <c r="M29" s="98">
        <v>2.1560000000000001E-4</v>
      </c>
      <c r="N29" s="99">
        <v>2.7285707072485101E-2</v>
      </c>
      <c r="O29" s="97">
        <v>25</v>
      </c>
      <c r="P29" s="98">
        <v>3.9027169373742301E-4</v>
      </c>
      <c r="Q29" s="98">
        <v>3.9027169373742301E-4</v>
      </c>
      <c r="R29" s="98">
        <v>3.0259680301247201E-2</v>
      </c>
    </row>
    <row r="30" spans="1:18" ht="15">
      <c r="A30" s="97">
        <v>26</v>
      </c>
      <c r="B30" s="98">
        <v>7.8848000000000004E-4</v>
      </c>
      <c r="C30" s="98">
        <v>7.8848000000000004E-4</v>
      </c>
      <c r="D30" s="98">
        <v>2.9908739709586001E-2</v>
      </c>
      <c r="E30" s="98">
        <v>2.2392000000000001E-4</v>
      </c>
      <c r="F30" s="98">
        <v>2.2392000000000001E-4</v>
      </c>
      <c r="G30" s="99">
        <v>3.0672032322439501E-2</v>
      </c>
      <c r="H30" s="97">
        <v>26</v>
      </c>
      <c r="I30" s="98">
        <v>7.8848000000000004E-4</v>
      </c>
      <c r="J30" s="98">
        <v>7.8848000000000004E-4</v>
      </c>
      <c r="K30" s="98">
        <v>2.32883517076833E-2</v>
      </c>
      <c r="L30" s="98">
        <v>2.37915E-4</v>
      </c>
      <c r="M30" s="98">
        <v>2.2392000000000001E-4</v>
      </c>
      <c r="N30" s="99">
        <v>2.7428691094979401E-2</v>
      </c>
      <c r="O30" s="97">
        <v>26</v>
      </c>
      <c r="P30" s="98">
        <v>3.9328799999999999E-4</v>
      </c>
      <c r="Q30" s="98">
        <v>3.9328799999999999E-4</v>
      </c>
      <c r="R30" s="98">
        <v>3.0213644500134602E-2</v>
      </c>
    </row>
    <row r="31" spans="1:18" ht="15">
      <c r="A31" s="97">
        <v>27</v>
      </c>
      <c r="B31" s="98">
        <v>7.7015999999999999E-4</v>
      </c>
      <c r="C31" s="98">
        <v>7.7015999999999999E-4</v>
      </c>
      <c r="D31" s="98">
        <v>2.98590995794876E-2</v>
      </c>
      <c r="E31" s="98">
        <v>2.3248E-4</v>
      </c>
      <c r="F31" s="98">
        <v>2.3248E-4</v>
      </c>
      <c r="G31" s="99">
        <v>3.0608750504165901E-2</v>
      </c>
      <c r="H31" s="97">
        <v>27</v>
      </c>
      <c r="I31" s="98">
        <v>7.7015999999999999E-4</v>
      </c>
      <c r="J31" s="98">
        <v>7.7015999999999999E-4</v>
      </c>
      <c r="K31" s="98">
        <v>2.4248431456910201E-2</v>
      </c>
      <c r="L31" s="98">
        <v>2.4700999999999998E-4</v>
      </c>
      <c r="M31" s="98">
        <v>2.3248E-4</v>
      </c>
      <c r="N31" s="99">
        <v>2.8039061101775498E-2</v>
      </c>
      <c r="O31" s="97">
        <v>27</v>
      </c>
      <c r="P31" s="98">
        <v>3.9378424089349601E-4</v>
      </c>
      <c r="Q31" s="98">
        <v>3.9378424089349601E-4</v>
      </c>
      <c r="R31" s="98">
        <v>3.01694455221354E-2</v>
      </c>
    </row>
    <row r="32" spans="1:18" ht="15">
      <c r="A32" s="97">
        <v>28</v>
      </c>
      <c r="B32" s="98">
        <v>7.4288000000000002E-4</v>
      </c>
      <c r="C32" s="98">
        <v>7.4288000000000002E-4</v>
      </c>
      <c r="D32" s="98">
        <v>2.9809459449389199E-2</v>
      </c>
      <c r="E32" s="98">
        <v>2.4032E-4</v>
      </c>
      <c r="F32" s="98">
        <v>2.4032E-4</v>
      </c>
      <c r="G32" s="99">
        <v>3.0545468685892301E-2</v>
      </c>
      <c r="H32" s="97">
        <v>28</v>
      </c>
      <c r="I32" s="98">
        <v>7.4288000000000002E-4</v>
      </c>
      <c r="J32" s="98">
        <v>7.4288000000000002E-4</v>
      </c>
      <c r="K32" s="98">
        <v>2.5407246953066301E-2</v>
      </c>
      <c r="L32" s="98">
        <v>2.5534E-4</v>
      </c>
      <c r="M32" s="98">
        <v>2.4032E-4</v>
      </c>
      <c r="N32" s="99">
        <v>2.85368989839434E-2</v>
      </c>
      <c r="O32" s="97">
        <v>28</v>
      </c>
      <c r="P32" s="98">
        <v>3.9108841458814701E-4</v>
      </c>
      <c r="Q32" s="98">
        <v>3.9108841458814701E-4</v>
      </c>
      <c r="R32" s="98">
        <v>3.0126446469437899E-2</v>
      </c>
    </row>
    <row r="33" spans="1:18" ht="15">
      <c r="A33" s="97">
        <v>29</v>
      </c>
      <c r="B33" s="98">
        <v>7.1688000000000003E-4</v>
      </c>
      <c r="C33" s="98">
        <v>7.1688000000000003E-4</v>
      </c>
      <c r="D33" s="98">
        <v>2.9759819319290799E-2</v>
      </c>
      <c r="E33" s="98">
        <v>2.4736000000000002E-4</v>
      </c>
      <c r="F33" s="98">
        <v>2.4736000000000002E-4</v>
      </c>
      <c r="G33" s="99">
        <v>3.04821868676186E-2</v>
      </c>
      <c r="H33" s="97">
        <v>29</v>
      </c>
      <c r="I33" s="98">
        <v>7.1688000000000003E-4</v>
      </c>
      <c r="J33" s="98">
        <v>7.1688000000000003E-4</v>
      </c>
      <c r="K33" s="98">
        <v>2.6588796854562599E-2</v>
      </c>
      <c r="L33" s="98">
        <v>2.6281999999999998E-4</v>
      </c>
      <c r="M33" s="98">
        <v>2.4736000000000002E-4</v>
      </c>
      <c r="N33" s="99">
        <v>2.8876352806071901E-2</v>
      </c>
      <c r="O33" s="97">
        <v>29</v>
      </c>
      <c r="P33" s="98">
        <v>3.8821652460746601E-4</v>
      </c>
      <c r="Q33" s="98">
        <v>3.8821652460746601E-4</v>
      </c>
      <c r="R33" s="98">
        <v>3.0082266757530601E-2</v>
      </c>
    </row>
    <row r="34" spans="1:18" ht="15">
      <c r="A34" s="97">
        <v>30</v>
      </c>
      <c r="B34" s="98">
        <v>7.0343999999999995E-4</v>
      </c>
      <c r="C34" s="98">
        <v>7.0343999999999995E-4</v>
      </c>
      <c r="D34" s="98">
        <v>2.9710179189192502E-2</v>
      </c>
      <c r="E34" s="98">
        <v>2.5799999999999998E-4</v>
      </c>
      <c r="F34" s="98">
        <v>2.5799999999999998E-4</v>
      </c>
      <c r="G34" s="99">
        <v>3.0418905049345E-2</v>
      </c>
      <c r="H34" s="97">
        <v>30</v>
      </c>
      <c r="I34" s="98">
        <v>7.0343999999999995E-4</v>
      </c>
      <c r="J34" s="98">
        <v>7.0343999999999995E-4</v>
      </c>
      <c r="K34" s="98">
        <v>2.7396087839497301E-2</v>
      </c>
      <c r="L34" s="98">
        <v>2.7412500000000001E-4</v>
      </c>
      <c r="M34" s="98">
        <v>2.5799999999999998E-4</v>
      </c>
      <c r="N34" s="99">
        <v>2.92323424815338E-2</v>
      </c>
      <c r="O34" s="97">
        <v>30</v>
      </c>
      <c r="P34" s="98">
        <v>3.9163258558490098E-4</v>
      </c>
      <c r="Q34" s="98">
        <v>3.9163258558490098E-4</v>
      </c>
      <c r="R34" s="98">
        <v>3.0037130666125199E-2</v>
      </c>
    </row>
    <row r="35" spans="1:18" ht="15">
      <c r="A35" s="97">
        <v>31</v>
      </c>
      <c r="B35" s="98">
        <v>7.1239999999999997E-4</v>
      </c>
      <c r="C35" s="98">
        <v>7.1239999999999997E-4</v>
      </c>
      <c r="D35" s="98">
        <v>2.9660539059094101E-2</v>
      </c>
      <c r="E35" s="98">
        <v>2.8247999999999999E-4</v>
      </c>
      <c r="F35" s="98">
        <v>2.8247999999999999E-4</v>
      </c>
      <c r="G35" s="99">
        <v>3.03556232310714E-2</v>
      </c>
      <c r="H35" s="97">
        <v>31</v>
      </c>
      <c r="I35" s="98">
        <v>7.1239999999999997E-4</v>
      </c>
      <c r="J35" s="98">
        <v>7.1239999999999997E-4</v>
      </c>
      <c r="K35" s="98">
        <v>2.7851302807271501E-2</v>
      </c>
      <c r="L35" s="98">
        <v>3.0013499999999999E-4</v>
      </c>
      <c r="M35" s="98">
        <v>2.8247999999999999E-4</v>
      </c>
      <c r="N35" s="99">
        <v>2.9301070825083899E-2</v>
      </c>
      <c r="O35" s="97">
        <v>31</v>
      </c>
      <c r="P35" s="98">
        <v>4.1145661925481202E-4</v>
      </c>
      <c r="Q35" s="98">
        <v>4.1145661925481202E-4</v>
      </c>
      <c r="R35" s="98">
        <v>2.9994580048662501E-2</v>
      </c>
    </row>
    <row r="36" spans="1:18" ht="15">
      <c r="A36" s="97">
        <v>32</v>
      </c>
      <c r="B36" s="98">
        <v>7.4744000000000004E-4</v>
      </c>
      <c r="C36" s="98">
        <v>7.4744000000000004E-4</v>
      </c>
      <c r="D36" s="98">
        <v>2.96108989289957E-2</v>
      </c>
      <c r="E36" s="98">
        <v>3.1728000000000003E-4</v>
      </c>
      <c r="F36" s="98">
        <v>3.1728000000000003E-4</v>
      </c>
      <c r="G36" s="99">
        <v>3.02923414127978E-2</v>
      </c>
      <c r="H36" s="97">
        <v>32</v>
      </c>
      <c r="I36" s="98">
        <v>7.4744000000000004E-4</v>
      </c>
      <c r="J36" s="98">
        <v>7.4744000000000004E-4</v>
      </c>
      <c r="K36" s="98">
        <v>2.7837564871252302E-2</v>
      </c>
      <c r="L36" s="98">
        <v>3.3711E-4</v>
      </c>
      <c r="M36" s="98">
        <v>3.1728000000000003E-4</v>
      </c>
      <c r="N36" s="99">
        <v>2.89980589805858E-2</v>
      </c>
      <c r="O36" s="97">
        <v>32</v>
      </c>
      <c r="P36" s="98">
        <v>4.4632862068488902E-4</v>
      </c>
      <c r="Q36" s="98">
        <v>4.4632862068488902E-4</v>
      </c>
      <c r="R36" s="98">
        <v>2.99498737819552E-2</v>
      </c>
    </row>
    <row r="37" spans="1:18" ht="15">
      <c r="A37" s="97">
        <v>33</v>
      </c>
      <c r="B37" s="98">
        <v>7.9303999999999996E-4</v>
      </c>
      <c r="C37" s="98">
        <v>7.9303999999999996E-4</v>
      </c>
      <c r="D37" s="98">
        <v>2.9561258798897299E-2</v>
      </c>
      <c r="E37" s="98">
        <v>3.6079999999999999E-4</v>
      </c>
      <c r="F37" s="98">
        <v>3.6079999999999999E-4</v>
      </c>
      <c r="G37" s="99">
        <v>3.0229059594524099E-2</v>
      </c>
      <c r="H37" s="97">
        <v>33</v>
      </c>
      <c r="I37" s="98">
        <v>7.9303999999999996E-4</v>
      </c>
      <c r="J37" s="98">
        <v>7.9303999999999996E-4</v>
      </c>
      <c r="K37" s="98">
        <v>2.7585090711365199E-2</v>
      </c>
      <c r="L37" s="98">
        <v>3.8335000000000002E-4</v>
      </c>
      <c r="M37" s="98">
        <v>3.6079999999999999E-4</v>
      </c>
      <c r="N37" s="99">
        <v>2.8572835430189399E-2</v>
      </c>
      <c r="O37" s="97">
        <v>33</v>
      </c>
      <c r="P37" s="98">
        <v>4.9047257256296301E-4</v>
      </c>
      <c r="Q37" s="98">
        <v>4.9047257256296301E-4</v>
      </c>
      <c r="R37" s="98">
        <v>2.9904908959992E-2</v>
      </c>
    </row>
    <row r="38" spans="1:18" ht="15">
      <c r="A38" s="97">
        <v>34</v>
      </c>
      <c r="B38" s="98">
        <v>8.4223999999999996E-4</v>
      </c>
      <c r="C38" s="98">
        <v>8.4223999999999996E-4</v>
      </c>
      <c r="D38" s="98">
        <v>2.9511618668798902E-2</v>
      </c>
      <c r="E38" s="98">
        <v>4.0000000000000002E-4</v>
      </c>
      <c r="F38" s="98">
        <v>4.0000000000000002E-4</v>
      </c>
      <c r="G38" s="99">
        <v>3.0165777776250499E-2</v>
      </c>
      <c r="H38" s="97">
        <v>34</v>
      </c>
      <c r="I38" s="98">
        <v>8.4223999999999996E-4</v>
      </c>
      <c r="J38" s="98">
        <v>8.4223999999999996E-4</v>
      </c>
      <c r="K38" s="98">
        <v>2.7041376641978799E-2</v>
      </c>
      <c r="L38" s="98">
        <v>4.2499999999999998E-4</v>
      </c>
      <c r="M38" s="98">
        <v>4.0000000000000002E-4</v>
      </c>
      <c r="N38" s="99">
        <v>2.81618039372965E-2</v>
      </c>
      <c r="O38" s="97">
        <v>34</v>
      </c>
      <c r="P38" s="98">
        <v>5.3267245368986398E-4</v>
      </c>
      <c r="Q38" s="98">
        <v>5.3267245368986398E-4</v>
      </c>
      <c r="R38" s="98">
        <v>2.9855159350435E-2</v>
      </c>
    </row>
    <row r="39" spans="1:18" ht="15">
      <c r="A39" s="97">
        <v>35</v>
      </c>
      <c r="B39" s="98">
        <v>8.9311999999999996E-4</v>
      </c>
      <c r="C39" s="98">
        <v>8.9311999999999996E-4</v>
      </c>
      <c r="D39" s="98">
        <v>2.9461978538700501E-2</v>
      </c>
      <c r="E39" s="98">
        <v>4.3152000000000002E-4</v>
      </c>
      <c r="F39" s="98">
        <v>4.3152000000000002E-4</v>
      </c>
      <c r="G39" s="99">
        <v>3.0102495957976899E-2</v>
      </c>
      <c r="H39" s="97">
        <v>35</v>
      </c>
      <c r="I39" s="98">
        <v>8.9311999999999996E-4</v>
      </c>
      <c r="J39" s="98">
        <v>8.9311999999999996E-4</v>
      </c>
      <c r="K39" s="98">
        <v>2.6438043128812299E-2</v>
      </c>
      <c r="L39" s="98">
        <v>4.5848999999999998E-4</v>
      </c>
      <c r="M39" s="98">
        <v>4.3152000000000002E-4</v>
      </c>
      <c r="N39" s="99">
        <v>2.7482806346449E-2</v>
      </c>
      <c r="O39" s="97">
        <v>35</v>
      </c>
      <c r="P39" s="98">
        <v>5.7000026145108895E-4</v>
      </c>
      <c r="Q39" s="98">
        <v>5.7000026145108895E-4</v>
      </c>
      <c r="R39" s="98">
        <v>2.9801004712501401E-2</v>
      </c>
    </row>
    <row r="40" spans="1:18" ht="15">
      <c r="A40" s="97">
        <v>36</v>
      </c>
      <c r="B40" s="98">
        <v>9.5783999999999995E-4</v>
      </c>
      <c r="C40" s="98">
        <v>9.5783999999999995E-4</v>
      </c>
      <c r="D40" s="98">
        <v>2.94123384086021E-2</v>
      </c>
      <c r="E40" s="98">
        <v>4.6799999999999999E-4</v>
      </c>
      <c r="F40" s="98">
        <v>4.6799999999999999E-4</v>
      </c>
      <c r="G40" s="99">
        <v>3.0039214139703199E-2</v>
      </c>
      <c r="H40" s="97">
        <v>36</v>
      </c>
      <c r="I40" s="98">
        <v>9.5783999999999995E-4</v>
      </c>
      <c r="J40" s="98">
        <v>9.5783999999999995E-4</v>
      </c>
      <c r="K40" s="98">
        <v>2.6020447864009401E-2</v>
      </c>
      <c r="L40" s="98">
        <v>4.9724999999999997E-4</v>
      </c>
      <c r="M40" s="98">
        <v>4.6799999999999999E-4</v>
      </c>
      <c r="N40" s="99">
        <v>2.6562779226084101E-2</v>
      </c>
      <c r="O40" s="97">
        <v>36</v>
      </c>
      <c r="P40" s="98">
        <v>6.1495199999999999E-4</v>
      </c>
      <c r="Q40" s="98">
        <v>6.1495199999999999E-4</v>
      </c>
      <c r="R40" s="98">
        <v>2.97458029150338E-2</v>
      </c>
    </row>
    <row r="41" spans="1:18" ht="15">
      <c r="A41" s="97">
        <v>37</v>
      </c>
      <c r="B41" s="98">
        <v>1.05272E-3</v>
      </c>
      <c r="C41" s="98">
        <v>1.05272E-3</v>
      </c>
      <c r="D41" s="98">
        <v>2.9362698278503699E-2</v>
      </c>
      <c r="E41" s="98">
        <v>5.2264E-4</v>
      </c>
      <c r="F41" s="98">
        <v>5.2264E-4</v>
      </c>
      <c r="G41" s="99">
        <v>2.9975932321429598E-2</v>
      </c>
      <c r="H41" s="97">
        <v>37</v>
      </c>
      <c r="I41" s="98">
        <v>1.05272E-3</v>
      </c>
      <c r="J41" s="98">
        <v>1.05272E-3</v>
      </c>
      <c r="K41" s="98">
        <v>2.5667945979474201E-2</v>
      </c>
      <c r="L41" s="98">
        <v>5.5530499999999997E-4</v>
      </c>
      <c r="M41" s="98">
        <v>5.2264E-4</v>
      </c>
      <c r="N41" s="99">
        <v>2.550053845789E-2</v>
      </c>
      <c r="O41" s="97">
        <v>37</v>
      </c>
      <c r="P41" s="98">
        <v>6.8166365077964902E-4</v>
      </c>
      <c r="Q41" s="98">
        <v>6.8166365077964902E-4</v>
      </c>
      <c r="R41" s="98">
        <v>2.9691260952021001E-2</v>
      </c>
    </row>
    <row r="42" spans="1:18" ht="15">
      <c r="A42" s="97">
        <v>38</v>
      </c>
      <c r="B42" s="98">
        <v>1.1756799999999999E-3</v>
      </c>
      <c r="C42" s="98">
        <v>1.1756799999999999E-3</v>
      </c>
      <c r="D42" s="98">
        <v>2.9313058148405301E-2</v>
      </c>
      <c r="E42" s="98">
        <v>5.9296000000000001E-4</v>
      </c>
      <c r="F42" s="98">
        <v>5.9296000000000001E-4</v>
      </c>
      <c r="G42" s="99">
        <v>2.9912650503155998E-2</v>
      </c>
      <c r="H42" s="97">
        <v>38</v>
      </c>
      <c r="I42" s="98">
        <v>1.1756799999999999E-3</v>
      </c>
      <c r="J42" s="98">
        <v>1.1756799999999999E-3</v>
      </c>
      <c r="K42" s="98">
        <v>2.5291939323546599E-2</v>
      </c>
      <c r="L42" s="98">
        <v>6.3002000000000002E-4</v>
      </c>
      <c r="M42" s="98">
        <v>5.9296000000000001E-4</v>
      </c>
      <c r="N42" s="99">
        <v>2.45432368716514E-2</v>
      </c>
      <c r="O42" s="97">
        <v>38</v>
      </c>
      <c r="P42" s="98">
        <v>7.6777518123348596E-4</v>
      </c>
      <c r="Q42" s="98">
        <v>7.6777518123348596E-4</v>
      </c>
      <c r="R42" s="98">
        <v>2.9636584822984199E-2</v>
      </c>
    </row>
    <row r="43" spans="1:18" ht="15">
      <c r="A43" s="97">
        <v>39</v>
      </c>
      <c r="B43" s="98">
        <v>1.31792E-3</v>
      </c>
      <c r="C43" s="98">
        <v>1.31792E-3</v>
      </c>
      <c r="D43" s="98">
        <v>2.9263418018307001E-2</v>
      </c>
      <c r="E43" s="98">
        <v>6.7296000000000001E-4</v>
      </c>
      <c r="F43" s="98">
        <v>6.7296000000000001E-4</v>
      </c>
      <c r="G43" s="99">
        <v>2.9849368684882398E-2</v>
      </c>
      <c r="H43" s="97">
        <v>39</v>
      </c>
      <c r="I43" s="98">
        <v>1.31792E-3</v>
      </c>
      <c r="J43" s="98">
        <v>1.31792E-3</v>
      </c>
      <c r="K43" s="98">
        <v>2.4841712706118301E-2</v>
      </c>
      <c r="L43" s="98">
        <v>7.1502000000000002E-4</v>
      </c>
      <c r="M43" s="98">
        <v>6.7296000000000001E-4</v>
      </c>
      <c r="N43" s="99">
        <v>2.3731500440785099E-2</v>
      </c>
      <c r="O43" s="97">
        <v>39</v>
      </c>
      <c r="P43" s="98">
        <v>8.6644656890282599E-4</v>
      </c>
      <c r="Q43" s="98">
        <v>8.6644656890282599E-4</v>
      </c>
      <c r="R43" s="98">
        <v>2.9581310262016301E-2</v>
      </c>
    </row>
    <row r="44" spans="1:18" ht="15">
      <c r="A44" s="97">
        <v>40</v>
      </c>
      <c r="B44" s="98">
        <v>1.472E-3</v>
      </c>
      <c r="C44" s="98">
        <v>1.472E-3</v>
      </c>
      <c r="D44" s="98">
        <v>2.92137778882086E-2</v>
      </c>
      <c r="E44" s="98">
        <v>7.6015999999999996E-4</v>
      </c>
      <c r="F44" s="98">
        <v>7.6015999999999996E-4</v>
      </c>
      <c r="G44" s="99">
        <v>2.9786086866608701E-2</v>
      </c>
      <c r="H44" s="97">
        <v>40</v>
      </c>
      <c r="I44" s="98">
        <v>1.472E-3</v>
      </c>
      <c r="J44" s="98">
        <v>1.472E-3</v>
      </c>
      <c r="K44" s="98">
        <v>2.4525211667753601E-2</v>
      </c>
      <c r="L44" s="98">
        <v>8.0767000000000002E-4</v>
      </c>
      <c r="M44" s="98">
        <v>7.6015999999999996E-4</v>
      </c>
      <c r="N44" s="99">
        <v>2.28201126550093E-2</v>
      </c>
      <c r="O44" s="97">
        <v>40</v>
      </c>
      <c r="P44" s="98">
        <v>9.7370980157540502E-4</v>
      </c>
      <c r="Q44" s="98">
        <v>9.7370980157540502E-4</v>
      </c>
      <c r="R44" s="98">
        <v>2.9525805020117701E-2</v>
      </c>
    </row>
    <row r="45" spans="1:18" ht="15">
      <c r="A45" s="97">
        <v>41</v>
      </c>
      <c r="B45" s="98">
        <v>1.6005348000000001E-3</v>
      </c>
      <c r="C45" s="98">
        <v>1.6107228E-3</v>
      </c>
      <c r="D45" s="98">
        <v>2.9164137758110199E-2</v>
      </c>
      <c r="E45" s="98">
        <v>8.3734874999999995E-4</v>
      </c>
      <c r="F45" s="98">
        <v>8.4173486250000004E-4</v>
      </c>
      <c r="G45" s="99">
        <v>2.9722805048335101E-2</v>
      </c>
      <c r="H45" s="97">
        <v>41</v>
      </c>
      <c r="I45" s="98">
        <v>1.6005348000000001E-3</v>
      </c>
      <c r="J45" s="98">
        <v>1.6107228E-3</v>
      </c>
      <c r="K45" s="98">
        <v>2.4520755272524099E-2</v>
      </c>
      <c r="L45" s="98">
        <v>8.9051375000000004E-4</v>
      </c>
      <c r="M45" s="98">
        <v>8.4173486250000004E-4</v>
      </c>
      <c r="N45" s="99">
        <v>2.1669870043847201E-2</v>
      </c>
      <c r="O45" s="97">
        <v>41</v>
      </c>
      <c r="P45" s="98">
        <v>1.0663015000929501E-3</v>
      </c>
      <c r="Q45" s="98">
        <v>1.0724306371417401E-3</v>
      </c>
      <c r="R45" s="98">
        <v>2.9470466993760401E-2</v>
      </c>
    </row>
    <row r="46" spans="1:18" ht="15">
      <c r="A46" s="97">
        <v>42</v>
      </c>
      <c r="B46" s="98">
        <v>1.7253437999999999E-3</v>
      </c>
      <c r="C46" s="98">
        <v>1.7477218000000001E-3</v>
      </c>
      <c r="D46" s="98">
        <v>2.9114497628011798E-2</v>
      </c>
      <c r="E46" s="98">
        <v>9.1364750000000002E-4</v>
      </c>
      <c r="F46" s="98">
        <v>9.2337342500000005E-4</v>
      </c>
      <c r="G46" s="99">
        <v>2.9659523230061501E-2</v>
      </c>
      <c r="H46" s="97">
        <v>42</v>
      </c>
      <c r="I46" s="98">
        <v>1.7253437999999999E-3</v>
      </c>
      <c r="J46" s="98">
        <v>1.7477218000000001E-3</v>
      </c>
      <c r="K46" s="98">
        <v>2.47181351326821E-2</v>
      </c>
      <c r="L46" s="98">
        <v>9.7259250000000005E-4</v>
      </c>
      <c r="M46" s="98">
        <v>9.2337342500000005E-4</v>
      </c>
      <c r="N46" s="99">
        <v>2.04171918520374E-2</v>
      </c>
      <c r="O46" s="97">
        <v>42</v>
      </c>
      <c r="P46" s="98">
        <v>1.1571523484335401E-3</v>
      </c>
      <c r="Q46" s="98">
        <v>1.17067960272198E-3</v>
      </c>
      <c r="R46" s="98">
        <v>2.9414927053078702E-2</v>
      </c>
    </row>
    <row r="47" spans="1:18" ht="15">
      <c r="A47" s="97">
        <v>43</v>
      </c>
      <c r="B47" s="98">
        <v>1.8520633E-3</v>
      </c>
      <c r="C47" s="98">
        <v>1.8887863E-3</v>
      </c>
      <c r="D47" s="98">
        <v>2.9064857497913401E-2</v>
      </c>
      <c r="E47" s="98">
        <v>9.9117374999999996E-4</v>
      </c>
      <c r="F47" s="98">
        <v>1.0072600125E-3</v>
      </c>
      <c r="G47" s="99">
        <v>2.9596241411787801E-2</v>
      </c>
      <c r="H47" s="97">
        <v>43</v>
      </c>
      <c r="I47" s="98">
        <v>1.8520633E-3</v>
      </c>
      <c r="J47" s="98">
        <v>1.8887863E-3</v>
      </c>
      <c r="K47" s="98">
        <v>2.4942902185499501E-2</v>
      </c>
      <c r="L47" s="98">
        <v>1.0561687499999999E-3</v>
      </c>
      <c r="M47" s="98">
        <v>1.0072600125E-3</v>
      </c>
      <c r="N47" s="99">
        <v>1.9413270043386201E-2</v>
      </c>
      <c r="O47" s="97">
        <v>43</v>
      </c>
      <c r="P47" s="98">
        <v>1.2494354863555499E-3</v>
      </c>
      <c r="Q47" s="98">
        <v>1.27172261860903E-3</v>
      </c>
      <c r="R47" s="98">
        <v>2.9359107032767499E-2</v>
      </c>
    </row>
    <row r="48" spans="1:18" ht="15">
      <c r="A48" s="97">
        <v>44</v>
      </c>
      <c r="B48" s="98">
        <v>1.9907117999999999E-3</v>
      </c>
      <c r="C48" s="98">
        <v>2.0443698000000001E-3</v>
      </c>
      <c r="D48" s="98">
        <v>2.9015217367815E-2</v>
      </c>
      <c r="E48" s="98">
        <v>1.0694249999999999E-3</v>
      </c>
      <c r="F48" s="98">
        <v>1.09295235E-3</v>
      </c>
      <c r="G48" s="99">
        <v>2.9532959593514201E-2</v>
      </c>
      <c r="H48" s="97">
        <v>44</v>
      </c>
      <c r="I48" s="98">
        <v>1.9907117999999999E-3</v>
      </c>
      <c r="J48" s="98">
        <v>2.0443698000000001E-3</v>
      </c>
      <c r="K48" s="98">
        <v>2.4768456663793501E-2</v>
      </c>
      <c r="L48" s="98">
        <v>1.14072E-3</v>
      </c>
      <c r="M48" s="98">
        <v>1.09295235E-3</v>
      </c>
      <c r="N48" s="99">
        <v>1.8847032746965801E-2</v>
      </c>
      <c r="O48" s="97">
        <v>44</v>
      </c>
      <c r="P48" s="98">
        <v>1.3458047068789E-3</v>
      </c>
      <c r="Q48" s="98">
        <v>1.3783862812209401E-3</v>
      </c>
      <c r="R48" s="98">
        <v>2.9302354052680901E-2</v>
      </c>
    </row>
    <row r="49" spans="1:18" ht="15">
      <c r="A49" s="97">
        <v>45</v>
      </c>
      <c r="B49" s="98">
        <v>2.1463432500000001E-3</v>
      </c>
      <c r="C49" s="98">
        <v>2.2201007500000001E-3</v>
      </c>
      <c r="D49" s="98">
        <v>2.8965577237716599E-2</v>
      </c>
      <c r="E49" s="98">
        <v>1.1541875E-3</v>
      </c>
      <c r="F49" s="98">
        <v>1.1864656249999999E-3</v>
      </c>
      <c r="G49" s="99">
        <v>2.9469677775240601E-2</v>
      </c>
      <c r="H49" s="97">
        <v>45</v>
      </c>
      <c r="I49" s="98">
        <v>2.1463432500000001E-3</v>
      </c>
      <c r="J49" s="98">
        <v>2.2201007500000001E-3</v>
      </c>
      <c r="K49" s="98">
        <v>2.4328852975590998E-2</v>
      </c>
      <c r="L49" s="98">
        <v>1.2324375E-3</v>
      </c>
      <c r="M49" s="98">
        <v>1.1864656249999999E-3</v>
      </c>
      <c r="N49" s="99">
        <v>1.85294741410904E-2</v>
      </c>
      <c r="O49" s="97">
        <v>45</v>
      </c>
      <c r="P49" s="98">
        <v>1.4518265480508699E-3</v>
      </c>
      <c r="Q49" s="98">
        <v>1.4965699602976399E-3</v>
      </c>
      <c r="R49" s="98">
        <v>2.9245233518034399E-2</v>
      </c>
    </row>
    <row r="50" spans="1:18" ht="15">
      <c r="A50" s="97">
        <v>46</v>
      </c>
      <c r="B50" s="98">
        <v>2.3211715000000001E-3</v>
      </c>
      <c r="C50" s="98">
        <v>2.4188364999999999E-3</v>
      </c>
      <c r="D50" s="98">
        <v>2.8915937107618299E-2</v>
      </c>
      <c r="E50" s="98">
        <v>1.25454E-3</v>
      </c>
      <c r="F50" s="98">
        <v>1.2973673999999999E-3</v>
      </c>
      <c r="G50" s="99">
        <v>2.94063959569669E-2</v>
      </c>
      <c r="H50" s="97">
        <v>46</v>
      </c>
      <c r="I50" s="98">
        <v>2.3211715000000001E-3</v>
      </c>
      <c r="J50" s="98">
        <v>2.4188364999999999E-3</v>
      </c>
      <c r="K50" s="98">
        <v>2.3911116993900701E-2</v>
      </c>
      <c r="L50" s="98">
        <v>1.34106E-3</v>
      </c>
      <c r="M50" s="98">
        <v>1.2973673999999999E-3</v>
      </c>
      <c r="N50" s="99">
        <v>1.8466210046318099E-2</v>
      </c>
      <c r="O50" s="97">
        <v>46</v>
      </c>
      <c r="P50" s="98">
        <v>1.57452025459767E-3</v>
      </c>
      <c r="Q50" s="98">
        <v>1.63382845168795E-3</v>
      </c>
      <c r="R50" s="98">
        <v>2.9188603906362999E-2</v>
      </c>
    </row>
    <row r="51" spans="1:18" ht="15">
      <c r="A51" s="97">
        <v>47</v>
      </c>
      <c r="B51" s="98">
        <v>2.5121552500000002E-3</v>
      </c>
      <c r="C51" s="98">
        <v>2.6380327499999998E-3</v>
      </c>
      <c r="D51" s="98">
        <v>2.8866296977519901E-2</v>
      </c>
      <c r="E51" s="98">
        <v>1.3684987499999999E-3</v>
      </c>
      <c r="F51" s="98">
        <v>1.4239589625E-3</v>
      </c>
      <c r="G51" s="99">
        <v>2.93431141386933E-2</v>
      </c>
      <c r="H51" s="97">
        <v>47</v>
      </c>
      <c r="I51" s="98">
        <v>2.5121552500000002E-3</v>
      </c>
      <c r="J51" s="98">
        <v>2.6380327499999998E-3</v>
      </c>
      <c r="K51" s="98">
        <v>2.3493764977440101E-2</v>
      </c>
      <c r="L51" s="98">
        <v>1.4645337500000001E-3</v>
      </c>
      <c r="M51" s="98">
        <v>1.4239589625E-3</v>
      </c>
      <c r="N51" s="99">
        <v>1.8498946590386801E-2</v>
      </c>
      <c r="O51" s="97">
        <v>47</v>
      </c>
      <c r="P51" s="98">
        <v>1.7115848196425001E-3</v>
      </c>
      <c r="Q51" s="98">
        <v>1.78820964119617E-3</v>
      </c>
      <c r="R51" s="98">
        <v>2.9132275701137501E-2</v>
      </c>
    </row>
    <row r="52" spans="1:18" ht="15">
      <c r="A52" s="97">
        <v>48</v>
      </c>
      <c r="B52" s="98">
        <v>2.7240984E-3</v>
      </c>
      <c r="C52" s="98">
        <v>2.8834023999999999E-3</v>
      </c>
      <c r="D52" s="98">
        <v>2.8816656847421501E-2</v>
      </c>
      <c r="E52" s="98">
        <v>1.4866600000000001E-3</v>
      </c>
      <c r="F52" s="98">
        <v>1.5567453999999999E-3</v>
      </c>
      <c r="G52" s="99">
        <v>2.92798323204197E-2</v>
      </c>
      <c r="H52" s="97">
        <v>48</v>
      </c>
      <c r="I52" s="98">
        <v>2.7240984E-3</v>
      </c>
      <c r="J52" s="98">
        <v>2.8834023999999999E-3</v>
      </c>
      <c r="K52" s="98">
        <v>2.3086069248479699E-2</v>
      </c>
      <c r="L52" s="98">
        <v>1.59285E-3</v>
      </c>
      <c r="M52" s="98">
        <v>1.5567453999999999E-3</v>
      </c>
      <c r="N52" s="99">
        <v>1.8648679993101599E-2</v>
      </c>
      <c r="O52" s="97">
        <v>48</v>
      </c>
      <c r="P52" s="98">
        <v>1.85787881341198E-3</v>
      </c>
      <c r="Q52" s="98">
        <v>1.95478121196633E-3</v>
      </c>
      <c r="R52" s="98">
        <v>2.9075207261565698E-2</v>
      </c>
    </row>
    <row r="53" spans="1:18" ht="15">
      <c r="A53" s="97">
        <v>49</v>
      </c>
      <c r="B53" s="98">
        <v>2.9607968000000002E-3</v>
      </c>
      <c r="C53" s="98">
        <v>3.1598047999999998E-3</v>
      </c>
      <c r="D53" s="98">
        <v>2.87670167173231E-2</v>
      </c>
      <c r="E53" s="98">
        <v>1.6061375000000001E-3</v>
      </c>
      <c r="F53" s="98">
        <v>1.6928689249999999E-3</v>
      </c>
      <c r="G53" s="99">
        <v>2.9216550502145999E-2</v>
      </c>
      <c r="H53" s="97">
        <v>49</v>
      </c>
      <c r="I53" s="98">
        <v>2.9607968000000002E-3</v>
      </c>
      <c r="J53" s="98">
        <v>3.1598047999999998E-3</v>
      </c>
      <c r="K53" s="98">
        <v>2.25821398705572E-2</v>
      </c>
      <c r="L53" s="98">
        <v>1.7229475E-3</v>
      </c>
      <c r="M53" s="98">
        <v>1.6928689249999999E-3</v>
      </c>
      <c r="N53" s="99">
        <v>1.90026341567773E-2</v>
      </c>
      <c r="O53" s="97">
        <v>49</v>
      </c>
      <c r="P53" s="98">
        <v>2.0125206283665999E-3</v>
      </c>
      <c r="Q53" s="98">
        <v>2.1330008242006E-3</v>
      </c>
      <c r="R53" s="98">
        <v>2.90172616230009E-2</v>
      </c>
    </row>
    <row r="54" spans="1:18" ht="15">
      <c r="A54" s="97">
        <v>50</v>
      </c>
      <c r="B54" s="98">
        <v>3.2206349999999999E-3</v>
      </c>
      <c r="C54" s="98">
        <v>3.4664850000000001E-3</v>
      </c>
      <c r="D54" s="98">
        <v>2.8717376587224699E-2</v>
      </c>
      <c r="E54" s="98">
        <v>1.7318475000000001E-3</v>
      </c>
      <c r="F54" s="98">
        <v>1.8376826250000001E-3</v>
      </c>
      <c r="G54" s="99">
        <v>2.9153268683872399E-2</v>
      </c>
      <c r="H54" s="97">
        <v>50</v>
      </c>
      <c r="I54" s="98">
        <v>3.2206349999999999E-3</v>
      </c>
      <c r="J54" s="98">
        <v>3.4664850000000001E-3</v>
      </c>
      <c r="K54" s="98">
        <v>2.18858075920151E-2</v>
      </c>
      <c r="L54" s="98">
        <v>1.8601325E-3</v>
      </c>
      <c r="M54" s="98">
        <v>1.8376826250000001E-3</v>
      </c>
      <c r="N54" s="99">
        <v>1.9119611880754301E-2</v>
      </c>
      <c r="O54" s="97">
        <v>50</v>
      </c>
      <c r="P54" s="98">
        <v>2.1784670046516002E-3</v>
      </c>
      <c r="Q54" s="98">
        <v>2.3263895496360302E-3</v>
      </c>
      <c r="R54" s="98">
        <v>2.8959065109952602E-2</v>
      </c>
    </row>
    <row r="55" spans="1:18" ht="15">
      <c r="A55" s="97">
        <v>51</v>
      </c>
      <c r="B55" s="98">
        <v>3.4946320499999999E-3</v>
      </c>
      <c r="C55" s="98">
        <v>3.7947175499999999E-3</v>
      </c>
      <c r="D55" s="98">
        <v>2.8667736457126301E-2</v>
      </c>
      <c r="E55" s="98">
        <v>1.85983625E-3</v>
      </c>
      <c r="F55" s="98">
        <v>1.9872174874999999E-3</v>
      </c>
      <c r="G55" s="99">
        <v>2.9089986865598799E-2</v>
      </c>
      <c r="H55" s="97">
        <v>51</v>
      </c>
      <c r="I55" s="98">
        <v>3.4946320499999999E-3</v>
      </c>
      <c r="J55" s="98">
        <v>3.7947175499999999E-3</v>
      </c>
      <c r="K55" s="98">
        <v>2.1185476683696299E-2</v>
      </c>
      <c r="L55" s="98">
        <v>2.0002012499999999E-3</v>
      </c>
      <c r="M55" s="98">
        <v>1.9872174874999999E-3</v>
      </c>
      <c r="N55" s="99">
        <v>1.92694814378922E-2</v>
      </c>
      <c r="O55" s="97">
        <v>51</v>
      </c>
      <c r="P55" s="98">
        <v>2.3502560955289999E-3</v>
      </c>
      <c r="Q55" s="98">
        <v>2.5295516326559902E-3</v>
      </c>
      <c r="R55" s="98">
        <v>2.8900765193831699E-2</v>
      </c>
    </row>
    <row r="56" spans="1:18" ht="15">
      <c r="A56" s="97">
        <v>52</v>
      </c>
      <c r="B56" s="98">
        <v>3.7690207999999999E-3</v>
      </c>
      <c r="C56" s="98">
        <v>4.1302687999999997E-3</v>
      </c>
      <c r="D56" s="98">
        <v>2.86180963270279E-2</v>
      </c>
      <c r="E56" s="98">
        <v>1.9847100000000002E-3</v>
      </c>
      <c r="F56" s="98">
        <v>2.1358533000000002E-3</v>
      </c>
      <c r="G56" s="99">
        <v>2.9026705047325099E-2</v>
      </c>
      <c r="H56" s="97">
        <v>52</v>
      </c>
      <c r="I56" s="98">
        <v>3.7690207999999999E-3</v>
      </c>
      <c r="J56" s="98">
        <v>4.1302687999999997E-3</v>
      </c>
      <c r="K56" s="98">
        <v>2.0722650901207399E-2</v>
      </c>
      <c r="L56" s="98">
        <v>2.1373799999999999E-3</v>
      </c>
      <c r="M56" s="98">
        <v>2.1358533000000002E-3</v>
      </c>
      <c r="N56" s="99">
        <v>1.9448596916400902E-2</v>
      </c>
      <c r="O56" s="97">
        <v>52</v>
      </c>
      <c r="P56" s="98">
        <v>2.51998222685212E-3</v>
      </c>
      <c r="Q56" s="98">
        <v>2.7342828082240599E-3</v>
      </c>
      <c r="R56" s="98">
        <v>2.8842512150594701E-2</v>
      </c>
    </row>
    <row r="57" spans="1:18" ht="15">
      <c r="A57" s="97">
        <v>53</v>
      </c>
      <c r="B57" s="98">
        <v>4.0341266499999999E-3</v>
      </c>
      <c r="C57" s="98">
        <v>4.4629381499999999E-3</v>
      </c>
      <c r="D57" s="98">
        <v>2.85684561969296E-2</v>
      </c>
      <c r="E57" s="98">
        <v>2.1010725E-3</v>
      </c>
      <c r="F57" s="98">
        <v>2.2778097749999999E-3</v>
      </c>
      <c r="G57" s="99">
        <v>2.8963423229051499E-2</v>
      </c>
      <c r="H57" s="97">
        <v>53</v>
      </c>
      <c r="I57" s="98">
        <v>4.0341266499999999E-3</v>
      </c>
      <c r="J57" s="98">
        <v>4.4629381499999999E-3</v>
      </c>
      <c r="K57" s="98">
        <v>2.0521699247899001E-2</v>
      </c>
      <c r="L57" s="98">
        <v>2.2658625000000002E-3</v>
      </c>
      <c r="M57" s="98">
        <v>2.2778097749999999E-3</v>
      </c>
      <c r="N57" s="99">
        <v>1.9568813712984402E-2</v>
      </c>
      <c r="O57" s="97">
        <v>53</v>
      </c>
      <c r="P57" s="98">
        <v>2.6809657365623601E-3</v>
      </c>
      <c r="Q57" s="98">
        <v>2.9334765561513801E-3</v>
      </c>
      <c r="R57" s="98">
        <v>2.8784294281809699E-2</v>
      </c>
    </row>
    <row r="58" spans="1:18" ht="15">
      <c r="A58" s="97">
        <v>54</v>
      </c>
      <c r="B58" s="98">
        <v>4.2847883999999996E-3</v>
      </c>
      <c r="C58" s="98">
        <v>4.7871924000000001E-3</v>
      </c>
      <c r="D58" s="98">
        <v>2.8518816066831199E-2</v>
      </c>
      <c r="E58" s="98">
        <v>2.2094375E-3</v>
      </c>
      <c r="F58" s="98">
        <v>2.4135895249999999E-3</v>
      </c>
      <c r="G58" s="99">
        <v>2.8900141410777899E-2</v>
      </c>
      <c r="H58" s="97">
        <v>54</v>
      </c>
      <c r="I58" s="98">
        <v>4.2847883999999996E-3</v>
      </c>
      <c r="J58" s="98">
        <v>4.7871924000000001E-3</v>
      </c>
      <c r="K58" s="98">
        <v>2.0627421133912902E-2</v>
      </c>
      <c r="L58" s="98">
        <v>2.3861924999999998E-3</v>
      </c>
      <c r="M58" s="98">
        <v>2.4135895249999999E-3</v>
      </c>
      <c r="N58" s="99">
        <v>1.9907426070419901E-2</v>
      </c>
      <c r="O58" s="97">
        <v>54</v>
      </c>
      <c r="P58" s="98">
        <v>2.83201794216608E-3</v>
      </c>
      <c r="Q58" s="98">
        <v>3.12582469647972E-3</v>
      </c>
      <c r="R58" s="98">
        <v>2.8726248288867998E-2</v>
      </c>
    </row>
    <row r="59" spans="1:18" ht="15">
      <c r="A59" s="97">
        <v>55</v>
      </c>
      <c r="B59" s="98">
        <v>4.5206077499999999E-3</v>
      </c>
      <c r="C59" s="98">
        <v>5.1026602500000001E-3</v>
      </c>
      <c r="D59" s="98">
        <v>2.8469175936732798E-2</v>
      </c>
      <c r="E59" s="98">
        <v>2.31329E-3</v>
      </c>
      <c r="F59" s="98">
        <v>2.5469795000000002E-3</v>
      </c>
      <c r="G59" s="99">
        <v>2.8836859592504299E-2</v>
      </c>
      <c r="H59" s="97">
        <v>55</v>
      </c>
      <c r="I59" s="98">
        <v>4.5206077499999999E-3</v>
      </c>
      <c r="J59" s="98">
        <v>5.1026602500000001E-3</v>
      </c>
      <c r="K59" s="98">
        <v>2.0889540594586399E-2</v>
      </c>
      <c r="L59" s="98">
        <v>2.50213E-3</v>
      </c>
      <c r="M59" s="98">
        <v>2.5469795000000002E-3</v>
      </c>
      <c r="N59" s="99">
        <v>2.0537702321766101E-2</v>
      </c>
      <c r="O59" s="97">
        <v>55</v>
      </c>
      <c r="P59" s="98">
        <v>2.97545887198214E-3</v>
      </c>
      <c r="Q59" s="98">
        <v>3.3138667986670899E-3</v>
      </c>
      <c r="R59" s="98">
        <v>2.8668486434755801E-2</v>
      </c>
    </row>
    <row r="60" spans="1:18" ht="15">
      <c r="A60" s="97">
        <v>56</v>
      </c>
      <c r="B60" s="98">
        <v>4.7466623999999997E-3</v>
      </c>
      <c r="C60" s="98">
        <v>5.4152063999999998E-3</v>
      </c>
      <c r="D60" s="98">
        <v>2.8419535806634401E-2</v>
      </c>
      <c r="E60" s="98">
        <v>2.4147000000000001E-3</v>
      </c>
      <c r="F60" s="98">
        <v>2.6803170000000002E-3</v>
      </c>
      <c r="G60" s="99">
        <v>2.8773577774230601E-2</v>
      </c>
      <c r="H60" s="97">
        <v>56</v>
      </c>
      <c r="I60" s="98">
        <v>4.7466623999999997E-3</v>
      </c>
      <c r="J60" s="98">
        <v>5.4152063999999998E-3</v>
      </c>
      <c r="K60" s="98">
        <v>2.1231016499070901E-2</v>
      </c>
      <c r="L60" s="98">
        <v>2.6159249999999998E-3</v>
      </c>
      <c r="M60" s="98">
        <v>2.6803170000000002E-3</v>
      </c>
      <c r="N60" s="99">
        <v>2.1289074026242201E-2</v>
      </c>
      <c r="O60" s="97">
        <v>56</v>
      </c>
      <c r="P60" s="98">
        <v>3.11426083881547E-3</v>
      </c>
      <c r="Q60" s="98">
        <v>3.5009985780440102E-3</v>
      </c>
      <c r="R60" s="98">
        <v>2.8610932574084501E-2</v>
      </c>
    </row>
    <row r="61" spans="1:18" ht="15">
      <c r="A61" s="97">
        <v>57</v>
      </c>
      <c r="B61" s="98">
        <v>4.96738575E-3</v>
      </c>
      <c r="C61" s="98">
        <v>5.7302182500000003E-3</v>
      </c>
      <c r="D61" s="98">
        <v>2.8369895676536E-2</v>
      </c>
      <c r="E61" s="98">
        <v>2.5109162500000001E-3</v>
      </c>
      <c r="F61" s="98">
        <v>2.8106234874999999E-3</v>
      </c>
      <c r="G61" s="99">
        <v>2.8710295955957001E-2</v>
      </c>
      <c r="H61" s="97">
        <v>57</v>
      </c>
      <c r="I61" s="98">
        <v>4.96738575E-3</v>
      </c>
      <c r="J61" s="98">
        <v>5.7302182500000003E-3</v>
      </c>
      <c r="K61" s="98">
        <v>2.1409886299971301E-2</v>
      </c>
      <c r="L61" s="98">
        <v>2.7246112499999999E-3</v>
      </c>
      <c r="M61" s="98">
        <v>2.8106234874999999E-3</v>
      </c>
      <c r="N61" s="99">
        <v>2.21306207580266E-2</v>
      </c>
      <c r="O61" s="97">
        <v>57</v>
      </c>
      <c r="P61" s="98">
        <v>3.2478280140400499E-3</v>
      </c>
      <c r="Q61" s="98">
        <v>3.6867512947779601E-3</v>
      </c>
      <c r="R61" s="98">
        <v>2.8553379463060701E-2</v>
      </c>
    </row>
    <row r="62" spans="1:18" ht="15">
      <c r="A62" s="97">
        <v>58</v>
      </c>
      <c r="B62" s="98">
        <v>5.1872282000000004E-3</v>
      </c>
      <c r="C62" s="98">
        <v>6.0533701999999998E-3</v>
      </c>
      <c r="D62" s="98">
        <v>2.8320255546437599E-2</v>
      </c>
      <c r="E62" s="98">
        <v>2.604865E-3</v>
      </c>
      <c r="F62" s="98">
        <v>2.9412323500000001E-3</v>
      </c>
      <c r="G62" s="99">
        <v>2.8647014137683401E-2</v>
      </c>
      <c r="H62" s="97">
        <v>58</v>
      </c>
      <c r="I62" s="98">
        <v>5.1872282000000004E-3</v>
      </c>
      <c r="J62" s="98">
        <v>6.0533701999999998E-3</v>
      </c>
      <c r="K62" s="98">
        <v>2.1572785431630902E-2</v>
      </c>
      <c r="L62" s="98">
        <v>2.8313750000000001E-3</v>
      </c>
      <c r="M62" s="98">
        <v>2.9412323500000001E-3</v>
      </c>
      <c r="N62" s="99">
        <v>2.3149926174543398E-2</v>
      </c>
      <c r="O62" s="97">
        <v>58</v>
      </c>
      <c r="P62" s="98">
        <v>3.3795438856002199E-3</v>
      </c>
      <c r="Q62" s="98">
        <v>3.8751609074819402E-3</v>
      </c>
      <c r="R62" s="98">
        <v>2.8495855723690702E-2</v>
      </c>
    </row>
    <row r="63" spans="1:18" ht="15">
      <c r="A63" s="97">
        <v>59</v>
      </c>
      <c r="B63" s="98">
        <v>5.4156723000000004E-3</v>
      </c>
      <c r="C63" s="98">
        <v>6.3965853000000003E-3</v>
      </c>
      <c r="D63" s="98">
        <v>2.8270615416339202E-2</v>
      </c>
      <c r="E63" s="98">
        <v>2.7066937500000001E-3</v>
      </c>
      <c r="F63" s="98">
        <v>3.0838264124999999E-3</v>
      </c>
      <c r="G63" s="99">
        <v>2.8583732319409701E-2</v>
      </c>
      <c r="H63" s="97">
        <v>59</v>
      </c>
      <c r="I63" s="98">
        <v>5.4156723000000004E-3</v>
      </c>
      <c r="J63" s="98">
        <v>6.3965853000000003E-3</v>
      </c>
      <c r="K63" s="98">
        <v>2.1741884104178901E-2</v>
      </c>
      <c r="L63" s="98">
        <v>2.9472887500000002E-3</v>
      </c>
      <c r="M63" s="98">
        <v>3.0838264124999999E-3</v>
      </c>
      <c r="N63" s="99">
        <v>2.4114367344158401E-2</v>
      </c>
      <c r="O63" s="97">
        <v>59</v>
      </c>
      <c r="P63" s="98">
        <v>3.5193564051393999E-3</v>
      </c>
      <c r="Q63" s="98">
        <v>4.07798322507473E-3</v>
      </c>
      <c r="R63" s="98">
        <v>2.84385200158951E-2</v>
      </c>
    </row>
    <row r="64" spans="1:18" ht="15">
      <c r="A64" s="97">
        <v>60</v>
      </c>
      <c r="B64" s="98">
        <v>5.668803E-3</v>
      </c>
      <c r="C64" s="98">
        <v>6.7803330000000004E-3</v>
      </c>
      <c r="D64" s="98">
        <v>2.8220975286240901E-2</v>
      </c>
      <c r="E64" s="98">
        <v>2.8282649999999999E-3</v>
      </c>
      <c r="F64" s="98">
        <v>3.2525047499999999E-3</v>
      </c>
      <c r="G64" s="99">
        <v>2.8520450501136101E-2</v>
      </c>
      <c r="H64" s="97">
        <v>60</v>
      </c>
      <c r="I64" s="98">
        <v>5.668803E-3</v>
      </c>
      <c r="J64" s="98">
        <v>6.7803330000000004E-3</v>
      </c>
      <c r="K64" s="98">
        <v>2.1741418915356601E-2</v>
      </c>
      <c r="L64" s="98">
        <v>3.08538E-3</v>
      </c>
      <c r="M64" s="98">
        <v>3.2525047499999999E-3</v>
      </c>
      <c r="N64" s="99">
        <v>2.48423807900678E-2</v>
      </c>
      <c r="O64" s="97">
        <v>60</v>
      </c>
      <c r="P64" s="98">
        <v>3.6803947185391002E-3</v>
      </c>
      <c r="Q64" s="98">
        <v>4.3112299955034702E-3</v>
      </c>
      <c r="R64" s="98">
        <v>2.8381441805664001E-2</v>
      </c>
    </row>
    <row r="65" spans="1:18" ht="15">
      <c r="A65" s="97">
        <v>61</v>
      </c>
      <c r="B65" s="98">
        <v>6.1398006774999996E-3</v>
      </c>
      <c r="C65" s="98">
        <v>7.3422087025000003E-3</v>
      </c>
      <c r="D65" s="98">
        <v>2.81713351561425E-2</v>
      </c>
      <c r="E65" s="98">
        <v>3.0447061562499998E-3</v>
      </c>
      <c r="F65" s="98">
        <v>3.5008933609375001E-3</v>
      </c>
      <c r="G65" s="99">
        <v>2.8457168682862501E-2</v>
      </c>
      <c r="H65" s="97">
        <v>61</v>
      </c>
      <c r="I65" s="98">
        <v>6.1398006774999996E-3</v>
      </c>
      <c r="J65" s="98">
        <v>7.3422087025000003E-3</v>
      </c>
      <c r="K65" s="98">
        <v>2.1704257007415299E-2</v>
      </c>
      <c r="L65" s="98">
        <v>3.32118325E-3</v>
      </c>
      <c r="M65" s="98">
        <v>3.5008933609375001E-3</v>
      </c>
      <c r="N65" s="99">
        <v>2.5272905350264101E-2</v>
      </c>
      <c r="O65" s="97">
        <v>61</v>
      </c>
      <c r="P65" s="98">
        <v>3.9716526062972303E-3</v>
      </c>
      <c r="Q65" s="98">
        <v>4.6515960902583304E-3</v>
      </c>
      <c r="R65" s="98">
        <v>2.83181060013084E-2</v>
      </c>
    </row>
    <row r="66" spans="1:18" ht="15">
      <c r="A66" s="97">
        <v>62</v>
      </c>
      <c r="B66" s="98">
        <v>6.7003193400000001E-3</v>
      </c>
      <c r="C66" s="98">
        <v>8.0076827400000009E-3</v>
      </c>
      <c r="D66" s="98">
        <v>2.81216950260441E-2</v>
      </c>
      <c r="E66" s="98">
        <v>3.3049863999999999E-3</v>
      </c>
      <c r="F66" s="98">
        <v>3.7984855599999998E-3</v>
      </c>
      <c r="G66" s="99">
        <v>2.8393886864588901E-2</v>
      </c>
      <c r="H66" s="97">
        <v>62</v>
      </c>
      <c r="I66" s="98">
        <v>6.7003193400000001E-3</v>
      </c>
      <c r="J66" s="98">
        <v>8.0076827400000009E-3</v>
      </c>
      <c r="K66" s="98">
        <v>2.1600195171231101E-2</v>
      </c>
      <c r="L66" s="98">
        <v>3.6040768000000002E-3</v>
      </c>
      <c r="M66" s="98">
        <v>3.7984855599999998E-3</v>
      </c>
      <c r="N66" s="99">
        <v>2.5393886864588801E-2</v>
      </c>
      <c r="O66" s="97">
        <v>62</v>
      </c>
      <c r="P66" s="98">
        <v>4.3199951784926799E-3</v>
      </c>
      <c r="Q66" s="98">
        <v>5.0568811624494602E-3</v>
      </c>
      <c r="R66" s="98">
        <v>2.8254355489708099E-2</v>
      </c>
    </row>
    <row r="67" spans="1:18" ht="15">
      <c r="A67" s="97">
        <v>63</v>
      </c>
      <c r="B67" s="98">
        <v>7.3671792487500004E-3</v>
      </c>
      <c r="C67" s="98">
        <v>8.7958773612499992E-3</v>
      </c>
      <c r="D67" s="98">
        <v>2.8072054895945699E-2</v>
      </c>
      <c r="E67" s="98">
        <v>3.6210135468749999E-3</v>
      </c>
      <c r="F67" s="98">
        <v>4.1586360632812503E-3</v>
      </c>
      <c r="G67" s="99">
        <v>2.8392839210647801E-2</v>
      </c>
      <c r="H67" s="97">
        <v>63</v>
      </c>
      <c r="I67" s="98">
        <v>7.3671792487500004E-3</v>
      </c>
      <c r="J67" s="98">
        <v>8.7958773612499992E-3</v>
      </c>
      <c r="K67" s="98">
        <v>2.1580515005785401E-2</v>
      </c>
      <c r="L67" s="98">
        <v>3.9468453749999998E-3</v>
      </c>
      <c r="M67" s="98">
        <v>4.1586360632812503E-3</v>
      </c>
      <c r="N67" s="99">
        <v>2.5392839210647802E-2</v>
      </c>
      <c r="O67" s="97">
        <v>63</v>
      </c>
      <c r="P67" s="98">
        <v>4.7386232429923901E-3</v>
      </c>
      <c r="Q67" s="98">
        <v>5.5420569856421097E-3</v>
      </c>
      <c r="R67" s="98">
        <v>2.8223193626778598E-2</v>
      </c>
    </row>
    <row r="68" spans="1:18" ht="15">
      <c r="A68" s="97">
        <v>64</v>
      </c>
      <c r="B68" s="98">
        <v>8.1462843899999995E-3</v>
      </c>
      <c r="C68" s="98">
        <v>9.7125732900000001E-3</v>
      </c>
      <c r="D68" s="98">
        <v>2.8022414765847301E-2</v>
      </c>
      <c r="E68" s="98">
        <v>3.9996084999999997E-3</v>
      </c>
      <c r="F68" s="98">
        <v>4.5887302750000003E-3</v>
      </c>
      <c r="G68" s="99">
        <v>2.8467317274696199E-2</v>
      </c>
      <c r="H68" s="97">
        <v>64</v>
      </c>
      <c r="I68" s="98">
        <v>8.1462843899999995E-3</v>
      </c>
      <c r="J68" s="98">
        <v>9.7125732900000001E-3</v>
      </c>
      <c r="K68" s="98">
        <v>2.1492527709979899E-2</v>
      </c>
      <c r="L68" s="98">
        <v>4.3566519999999999E-3</v>
      </c>
      <c r="M68" s="98">
        <v>4.5887302750000003E-3</v>
      </c>
      <c r="N68" s="99">
        <v>2.5467317274696099E-2</v>
      </c>
      <c r="O68" s="97">
        <v>64</v>
      </c>
      <c r="P68" s="98">
        <v>5.2338536140489004E-3</v>
      </c>
      <c r="Q68" s="98">
        <v>6.1138058213889698E-3</v>
      </c>
      <c r="R68" s="98">
        <v>2.82314346099036E-2</v>
      </c>
    </row>
    <row r="69" spans="1:18" ht="15">
      <c r="A69" s="97">
        <v>65</v>
      </c>
      <c r="B69" s="98">
        <v>9.0334639218750002E-3</v>
      </c>
      <c r="C69" s="98">
        <v>1.0751267203125E-2</v>
      </c>
      <c r="D69" s="98">
        <v>2.79727746357489E-2</v>
      </c>
      <c r="E69" s="98">
        <v>4.4462234374999998E-3</v>
      </c>
      <c r="F69" s="98">
        <v>5.0944491406250004E-3</v>
      </c>
      <c r="G69" s="99">
        <v>2.86199646461112E-2</v>
      </c>
      <c r="H69" s="97">
        <v>65</v>
      </c>
      <c r="I69" s="98">
        <v>9.0334639218750002E-3</v>
      </c>
      <c r="J69" s="98">
        <v>1.0751267203125E-2</v>
      </c>
      <c r="K69" s="98">
        <v>2.15314620076444E-2</v>
      </c>
      <c r="L69" s="98">
        <v>4.8390875000000003E-3</v>
      </c>
      <c r="M69" s="98">
        <v>5.0944491406250004E-3</v>
      </c>
      <c r="N69" s="99">
        <v>2.5619964646111201E-2</v>
      </c>
      <c r="O69" s="97">
        <v>65</v>
      </c>
      <c r="P69" s="98">
        <v>5.8079657917056099E-3</v>
      </c>
      <c r="Q69" s="98">
        <v>6.7738649890187099E-3</v>
      </c>
      <c r="R69" s="98">
        <v>2.8280371170259201E-2</v>
      </c>
    </row>
    <row r="70" spans="1:18" ht="15">
      <c r="A70" s="97">
        <v>66</v>
      </c>
      <c r="B70" s="98">
        <v>1.00283244825E-2</v>
      </c>
      <c r="C70" s="98">
        <v>1.1909748057500001E-2</v>
      </c>
      <c r="D70" s="98">
        <v>2.7923134505650499E-2</v>
      </c>
      <c r="E70" s="98">
        <v>4.9733498749999997E-3</v>
      </c>
      <c r="F70" s="98">
        <v>5.6893857312499997E-3</v>
      </c>
      <c r="G70" s="99">
        <v>2.8703074932441199E-2</v>
      </c>
      <c r="H70" s="97">
        <v>66</v>
      </c>
      <c r="I70" s="98">
        <v>1.00283244825E-2</v>
      </c>
      <c r="J70" s="98">
        <v>1.1909748057500001E-2</v>
      </c>
      <c r="K70" s="98">
        <v>2.17762451363087E-2</v>
      </c>
      <c r="L70" s="98">
        <v>5.4073109999999997E-3</v>
      </c>
      <c r="M70" s="98">
        <v>5.6893857312499997E-3</v>
      </c>
      <c r="N70" s="99">
        <v>2.57030749324412E-2</v>
      </c>
      <c r="O70" s="97">
        <v>66</v>
      </c>
      <c r="P70" s="98">
        <v>6.4695167892061404E-3</v>
      </c>
      <c r="Q70" s="98">
        <v>7.5306892572083502E-3</v>
      </c>
      <c r="R70" s="98">
        <v>2.8293193823010002E-2</v>
      </c>
    </row>
    <row r="71" spans="1:18" ht="15">
      <c r="A71" s="97">
        <v>67</v>
      </c>
      <c r="B71" s="98">
        <v>1.1137482587500001E-2</v>
      </c>
      <c r="C71" s="98">
        <v>1.3193914712499999E-2</v>
      </c>
      <c r="D71" s="98">
        <v>2.7873494375552098E-2</v>
      </c>
      <c r="E71" s="98">
        <v>5.5884816406250003E-3</v>
      </c>
      <c r="F71" s="98">
        <v>6.3812183398437496E-3</v>
      </c>
      <c r="G71" s="99">
        <v>2.87957877286058E-2</v>
      </c>
      <c r="H71" s="97">
        <v>67</v>
      </c>
      <c r="I71" s="98">
        <v>1.1137482587500001E-2</v>
      </c>
      <c r="J71" s="98">
        <v>1.3193914712499999E-2</v>
      </c>
      <c r="K71" s="98">
        <v>2.2168053767044602E-2</v>
      </c>
      <c r="L71" s="98">
        <v>6.0689281250000003E-3</v>
      </c>
      <c r="M71" s="98">
        <v>6.3812183398437496E-3</v>
      </c>
      <c r="N71" s="99">
        <v>2.5795787728605801E-2</v>
      </c>
      <c r="O71" s="97">
        <v>67</v>
      </c>
      <c r="P71" s="98">
        <v>7.2254068249854499E-3</v>
      </c>
      <c r="Q71" s="98">
        <v>8.3912107125140804E-3</v>
      </c>
      <c r="R71" s="98">
        <v>2.8311927089805001E-2</v>
      </c>
    </row>
    <row r="72" spans="1:18" ht="15">
      <c r="A72" s="97">
        <v>68</v>
      </c>
      <c r="B72" s="98">
        <v>1.237278E-2</v>
      </c>
      <c r="C72" s="98">
        <v>1.461558E-2</v>
      </c>
      <c r="D72" s="98">
        <v>2.7823854245453802E-2</v>
      </c>
      <c r="E72" s="98">
        <v>6.2955416000000002E-3</v>
      </c>
      <c r="F72" s="98">
        <v>7.1733706400000001E-3</v>
      </c>
      <c r="G72" s="99">
        <v>2.89316195779343E-2</v>
      </c>
      <c r="H72" s="97">
        <v>68</v>
      </c>
      <c r="I72" s="98">
        <v>1.237278E-2</v>
      </c>
      <c r="J72" s="98">
        <v>1.461558E-2</v>
      </c>
      <c r="K72" s="98">
        <v>2.2543764516004601E-2</v>
      </c>
      <c r="L72" s="98">
        <v>6.8275591999999996E-3</v>
      </c>
      <c r="M72" s="98">
        <v>7.1733706400000001E-3</v>
      </c>
      <c r="N72" s="99">
        <v>2.5931619577934301E-2</v>
      </c>
      <c r="O72" s="97">
        <v>68</v>
      </c>
      <c r="P72" s="98">
        <v>8.0814478304168692E-3</v>
      </c>
      <c r="Q72" s="98">
        <v>9.3609139393850092E-3</v>
      </c>
      <c r="R72" s="98">
        <v>2.8354028557295401E-2</v>
      </c>
    </row>
    <row r="73" spans="1:18" ht="15">
      <c r="A73" s="97">
        <v>69</v>
      </c>
      <c r="B73" s="98">
        <v>1.374676681125E-2</v>
      </c>
      <c r="C73" s="98">
        <v>1.6187059298750001E-2</v>
      </c>
      <c r="D73" s="98">
        <v>2.7774214115355401E-2</v>
      </c>
      <c r="E73" s="98">
        <v>7.1064969687499998E-3</v>
      </c>
      <c r="F73" s="98">
        <v>8.0782558578124993E-3</v>
      </c>
      <c r="G73" s="99">
        <v>2.92208067927681E-2</v>
      </c>
      <c r="H73" s="97">
        <v>69</v>
      </c>
      <c r="I73" s="98">
        <v>1.374676681125E-2</v>
      </c>
      <c r="J73" s="98">
        <v>1.6187059298750001E-2</v>
      </c>
      <c r="K73" s="98">
        <v>2.29447055011591E-2</v>
      </c>
      <c r="L73" s="98">
        <v>7.6954417500000004E-3</v>
      </c>
      <c r="M73" s="98">
        <v>8.0782558578124993E-3</v>
      </c>
      <c r="N73" s="99">
        <v>2.62208067927681E-2</v>
      </c>
      <c r="O73" s="97">
        <v>69</v>
      </c>
      <c r="P73" s="98">
        <v>9.0486255090422799E-3</v>
      </c>
      <c r="Q73" s="98">
        <v>1.0451260598858999E-2</v>
      </c>
      <c r="R73" s="98">
        <v>2.8477184787073302E-2</v>
      </c>
    </row>
    <row r="74" spans="1:18" ht="15">
      <c r="A74" s="97">
        <v>70</v>
      </c>
      <c r="B74" s="98">
        <v>1.5274656562500001E-2</v>
      </c>
      <c r="C74" s="98">
        <v>1.79234409375E-2</v>
      </c>
      <c r="D74" s="98">
        <v>2.7724573985257E-2</v>
      </c>
      <c r="E74" s="98">
        <v>8.0443203125000005E-3</v>
      </c>
      <c r="F74" s="98">
        <v>9.1205199218750005E-3</v>
      </c>
      <c r="G74" s="99">
        <v>2.9532186981688201E-2</v>
      </c>
      <c r="H74" s="97">
        <v>70</v>
      </c>
      <c r="I74" s="98">
        <v>1.5274656562500001E-2</v>
      </c>
      <c r="J74" s="98">
        <v>1.79234409375E-2</v>
      </c>
      <c r="K74" s="98">
        <v>2.3392515741590101E-2</v>
      </c>
      <c r="L74" s="98">
        <v>8.6965624999999994E-3</v>
      </c>
      <c r="M74" s="98">
        <v>9.1205199218750005E-3</v>
      </c>
      <c r="N74" s="99">
        <v>2.6532186981688199E-2</v>
      </c>
      <c r="O74" s="97">
        <v>70</v>
      </c>
      <c r="P74" s="98">
        <v>1.0147127363858701E-2</v>
      </c>
      <c r="Q74" s="98">
        <v>1.16831823272356E-2</v>
      </c>
      <c r="R74" s="98">
        <v>2.86132757223195E-2</v>
      </c>
    </row>
    <row r="75" spans="1:18" ht="15">
      <c r="A75" s="97">
        <v>71</v>
      </c>
      <c r="B75" s="98">
        <v>1.6978547186250002E-2</v>
      </c>
      <c r="C75" s="98">
        <v>1.984745592375E-2</v>
      </c>
      <c r="D75" s="98">
        <v>2.7674933855158599E-2</v>
      </c>
      <c r="E75" s="98">
        <v>9.1337815250000006E-3</v>
      </c>
      <c r="F75" s="98">
        <v>1.032644157875E-2</v>
      </c>
      <c r="G75" s="99">
        <v>2.9886187550974001E-2</v>
      </c>
      <c r="H75" s="97">
        <v>71</v>
      </c>
      <c r="I75" s="98">
        <v>1.6978547186250002E-2</v>
      </c>
      <c r="J75" s="98">
        <v>1.984745592375E-2</v>
      </c>
      <c r="K75" s="98">
        <v>2.3880088035642798E-2</v>
      </c>
      <c r="L75" s="98">
        <v>9.8566057999999995E-3</v>
      </c>
      <c r="M75" s="98">
        <v>1.032644157875E-2</v>
      </c>
      <c r="N75" s="99">
        <v>2.6886187550974001E-2</v>
      </c>
      <c r="O75" s="97">
        <v>71</v>
      </c>
      <c r="P75" s="98">
        <v>1.1399661615166E-2</v>
      </c>
      <c r="Q75" s="98">
        <v>1.3080583405827E-2</v>
      </c>
      <c r="R75" s="98">
        <v>2.8773345437525601E-2</v>
      </c>
    </row>
    <row r="76" spans="1:18" ht="15">
      <c r="A76" s="97">
        <v>72</v>
      </c>
      <c r="B76" s="98">
        <v>1.8887440469999999E-2</v>
      </c>
      <c r="C76" s="98">
        <v>2.1989330170000002E-2</v>
      </c>
      <c r="D76" s="98">
        <v>2.7625293725060202E-2</v>
      </c>
      <c r="E76" s="98">
        <v>1.040655865E-2</v>
      </c>
      <c r="F76" s="98">
        <v>1.1729627897500001E-2</v>
      </c>
      <c r="G76" s="99">
        <v>3.0159018022719399E-2</v>
      </c>
      <c r="H76" s="97">
        <v>72</v>
      </c>
      <c r="I76" s="98">
        <v>1.8887440469999999E-2</v>
      </c>
      <c r="J76" s="98">
        <v>2.1989330170000002E-2</v>
      </c>
      <c r="K76" s="98">
        <v>2.4316785989750199E-2</v>
      </c>
      <c r="L76" s="98">
        <v>1.12084188E-2</v>
      </c>
      <c r="M76" s="98">
        <v>1.1729627897500001E-2</v>
      </c>
      <c r="N76" s="99">
        <v>2.7159018022719399E-2</v>
      </c>
      <c r="O76" s="97">
        <v>72</v>
      </c>
      <c r="P76" s="98">
        <v>1.2837397226871E-2</v>
      </c>
      <c r="Q76" s="98">
        <v>1.46759453369361E-2</v>
      </c>
      <c r="R76" s="98">
        <v>2.88943435205344E-2</v>
      </c>
    </row>
    <row r="77" spans="1:18" ht="15">
      <c r="A77" s="97">
        <v>73</v>
      </c>
      <c r="B77" s="98">
        <v>2.1041254451250001E-2</v>
      </c>
      <c r="C77" s="98">
        <v>2.439124333875E-2</v>
      </c>
      <c r="D77" s="98">
        <v>2.7575653594961801E-2</v>
      </c>
      <c r="E77" s="98">
        <v>1.1897564225000001E-2</v>
      </c>
      <c r="F77" s="98">
        <v>1.3366730783749999E-2</v>
      </c>
      <c r="G77" s="99">
        <v>3.0374601463919501E-2</v>
      </c>
      <c r="H77" s="97">
        <v>73</v>
      </c>
      <c r="I77" s="98">
        <v>2.1041254451250001E-2</v>
      </c>
      <c r="J77" s="98">
        <v>2.439124333875E-2</v>
      </c>
      <c r="K77" s="98">
        <v>2.4540150868461199E-2</v>
      </c>
      <c r="L77" s="98">
        <v>1.2787968199999999E-2</v>
      </c>
      <c r="M77" s="98">
        <v>1.3366730783749999E-2</v>
      </c>
      <c r="N77" s="99">
        <v>2.7374601463919498E-2</v>
      </c>
      <c r="O77" s="97">
        <v>73</v>
      </c>
      <c r="P77" s="98">
        <v>1.44959243838801E-2</v>
      </c>
      <c r="Q77" s="98">
        <v>1.65067072546289E-2</v>
      </c>
      <c r="R77" s="98">
        <v>2.8989014719343498E-2</v>
      </c>
    </row>
    <row r="78" spans="1:18" ht="15">
      <c r="A78" s="97">
        <v>74</v>
      </c>
      <c r="B78" s="98">
        <v>2.3487196094999999E-2</v>
      </c>
      <c r="C78" s="98">
        <v>2.7102829544999998E-2</v>
      </c>
      <c r="D78" s="98">
        <v>2.7540150868461202E-2</v>
      </c>
      <c r="E78" s="98">
        <v>1.3649017962499999E-2</v>
      </c>
      <c r="F78" s="98">
        <v>1.5281909669375E-2</v>
      </c>
      <c r="G78" s="99">
        <v>3.0464437860914802E-2</v>
      </c>
      <c r="H78" s="97">
        <v>74</v>
      </c>
      <c r="I78" s="98">
        <v>2.3487196094999999E-2</v>
      </c>
      <c r="J78" s="98">
        <v>2.7102829544999998E-2</v>
      </c>
      <c r="K78" s="98">
        <v>2.4526013464863401E-2</v>
      </c>
      <c r="L78" s="98">
        <v>1.4638649300000001E-2</v>
      </c>
      <c r="M78" s="98">
        <v>1.5281909669375E-2</v>
      </c>
      <c r="N78" s="99">
        <v>2.7464437860914799E-2</v>
      </c>
      <c r="O78" s="97">
        <v>74</v>
      </c>
      <c r="P78" s="98">
        <v>1.6420377623141601E-2</v>
      </c>
      <c r="Q78" s="98">
        <v>1.86198449276711E-2</v>
      </c>
      <c r="R78" s="98">
        <v>2.9028867302595501E-2</v>
      </c>
    </row>
    <row r="79" spans="1:18" ht="15">
      <c r="A79" s="97">
        <v>75</v>
      </c>
      <c r="B79" s="98">
        <v>2.6281475390625E-2</v>
      </c>
      <c r="C79" s="98">
        <v>3.0182908984375E-2</v>
      </c>
      <c r="D79" s="98">
        <v>2.7540150868461202E-2</v>
      </c>
      <c r="E79" s="98">
        <v>1.5703741015625002E-2</v>
      </c>
      <c r="F79" s="98">
        <v>1.75191734960937E-2</v>
      </c>
      <c r="G79" s="99">
        <v>3.0464437860914802E-2</v>
      </c>
      <c r="H79" s="97">
        <v>75</v>
      </c>
      <c r="I79" s="98">
        <v>2.6281475390625E-2</v>
      </c>
      <c r="J79" s="98">
        <v>3.0182908984375E-2</v>
      </c>
      <c r="K79" s="98">
        <v>2.42499580201881E-2</v>
      </c>
      <c r="L79" s="98">
        <v>1.6804003125000001E-2</v>
      </c>
      <c r="M79" s="98">
        <v>1.75191734960937E-2</v>
      </c>
      <c r="N79" s="99">
        <v>2.74003020811503E-2</v>
      </c>
      <c r="O79" s="97">
        <v>75</v>
      </c>
      <c r="P79" s="98">
        <v>1.8657853384942701E-2</v>
      </c>
      <c r="Q79" s="98">
        <v>2.1064035498248701E-2</v>
      </c>
      <c r="R79" s="98">
        <v>2.90409247063814E-2</v>
      </c>
    </row>
    <row r="80" spans="1:18" ht="15">
      <c r="A80" s="97">
        <v>76</v>
      </c>
      <c r="B80" s="98">
        <v>2.9486606879999998E-2</v>
      </c>
      <c r="C80" s="98">
        <v>3.3696115679999999E-2</v>
      </c>
      <c r="D80" s="98">
        <v>2.7540150868461202E-2</v>
      </c>
      <c r="E80" s="98">
        <v>1.8106731000000001E-2</v>
      </c>
      <c r="F80" s="98">
        <v>2.012408865E-2</v>
      </c>
      <c r="G80" s="99">
        <v>3.0464437860914802E-2</v>
      </c>
      <c r="H80" s="97">
        <v>76</v>
      </c>
      <c r="I80" s="98">
        <v>2.9486606879999998E-2</v>
      </c>
      <c r="J80" s="98">
        <v>3.3696115679999999E-2</v>
      </c>
      <c r="K80" s="98">
        <v>2.3805943899593202E-2</v>
      </c>
      <c r="L80" s="98">
        <v>1.9329372000000001E-2</v>
      </c>
      <c r="M80" s="98">
        <v>2.012408865E-2</v>
      </c>
      <c r="N80" s="99">
        <v>2.720160544726E-2</v>
      </c>
      <c r="O80" s="97">
        <v>76</v>
      </c>
      <c r="P80" s="98">
        <v>2.1254708768630899E-2</v>
      </c>
      <c r="Q80" s="98">
        <v>2.38867369335432E-2</v>
      </c>
      <c r="R80" s="98">
        <v>2.9052990497373501E-2</v>
      </c>
    </row>
    <row r="81" spans="1:18" ht="15">
      <c r="A81" s="97">
        <v>77</v>
      </c>
      <c r="B81" s="98">
        <v>3.3172986964374998E-2</v>
      </c>
      <c r="C81" s="98">
        <v>3.7714479420625002E-2</v>
      </c>
      <c r="D81" s="98">
        <v>2.7540150868461202E-2</v>
      </c>
      <c r="E81" s="98">
        <v>2.0910307612500002E-2</v>
      </c>
      <c r="F81" s="98">
        <v>2.3149411216874999E-2</v>
      </c>
      <c r="G81" s="99">
        <v>3.0464437860914802E-2</v>
      </c>
      <c r="H81" s="97">
        <v>77</v>
      </c>
      <c r="I81" s="98">
        <v>3.3172986964374998E-2</v>
      </c>
      <c r="J81" s="98">
        <v>3.7714479420625002E-2</v>
      </c>
      <c r="K81" s="98">
        <v>2.3236393151918101E-2</v>
      </c>
      <c r="L81" s="98">
        <v>2.2267340100000001E-2</v>
      </c>
      <c r="M81" s="98">
        <v>2.3149411216874999E-2</v>
      </c>
      <c r="N81" s="99">
        <v>2.6851753918006701E-2</v>
      </c>
      <c r="O81" s="97">
        <v>77</v>
      </c>
      <c r="P81" s="98">
        <v>2.42669108998598E-2</v>
      </c>
      <c r="Q81" s="98">
        <v>2.7144488070343201E-2</v>
      </c>
      <c r="R81" s="98">
        <v>2.9064429555122201E-2</v>
      </c>
    </row>
    <row r="82" spans="1:18" ht="15">
      <c r="A82" s="97">
        <v>78</v>
      </c>
      <c r="B82" s="98">
        <v>3.74232905325E-2</v>
      </c>
      <c r="C82" s="98">
        <v>4.2322149607499998E-2</v>
      </c>
      <c r="D82" s="98">
        <v>2.75260134648634E-2</v>
      </c>
      <c r="E82" s="98">
        <v>2.4175862062500001E-2</v>
      </c>
      <c r="F82" s="98">
        <v>2.6656845684375E-2</v>
      </c>
      <c r="G82" s="99">
        <v>3.0464437860914802E-2</v>
      </c>
      <c r="H82" s="97">
        <v>78</v>
      </c>
      <c r="I82" s="98">
        <v>3.74232905325E-2</v>
      </c>
      <c r="J82" s="98">
        <v>4.2322149607499998E-2</v>
      </c>
      <c r="K82" s="98">
        <v>2.2544757451413901E-2</v>
      </c>
      <c r="L82" s="98">
        <v>2.56794885E-2</v>
      </c>
      <c r="M82" s="98">
        <v>2.6656845684375E-2</v>
      </c>
      <c r="N82" s="99">
        <v>2.64335645171811E-2</v>
      </c>
      <c r="O82" s="97">
        <v>78</v>
      </c>
      <c r="P82" s="98">
        <v>2.77591689135839E-2</v>
      </c>
      <c r="Q82" s="98">
        <v>3.0902376843694901E-2</v>
      </c>
      <c r="R82" s="98">
        <v>2.90681827615949E-2</v>
      </c>
    </row>
    <row r="83" spans="1:18" ht="15">
      <c r="A83" s="97">
        <v>79</v>
      </c>
      <c r="B83" s="98">
        <v>4.2336395210625002E-2</v>
      </c>
      <c r="C83" s="98">
        <v>4.7619437004375001E-2</v>
      </c>
      <c r="D83" s="98">
        <v>2.7249958020188099E-2</v>
      </c>
      <c r="E83" s="98">
        <v>2.7979227693750001E-2</v>
      </c>
      <c r="F83" s="98">
        <v>3.0722732616562502E-2</v>
      </c>
      <c r="G83" s="99">
        <v>3.0400302081150299E-2</v>
      </c>
      <c r="H83" s="97">
        <v>79</v>
      </c>
      <c r="I83" s="98">
        <v>4.2336395210625002E-2</v>
      </c>
      <c r="J83" s="98">
        <v>4.7619437004375001E-2</v>
      </c>
      <c r="K83" s="98">
        <v>2.1822831458300398E-2</v>
      </c>
      <c r="L83" s="98">
        <v>2.9641957949999999E-2</v>
      </c>
      <c r="M83" s="98">
        <v>3.0722732616562502E-2</v>
      </c>
      <c r="N83" s="99">
        <v>2.5869147278889601E-2</v>
      </c>
      <c r="O83" s="97">
        <v>79</v>
      </c>
      <c r="P83" s="98">
        <v>3.1798170199371603E-2</v>
      </c>
      <c r="Q83" s="98">
        <v>3.5227248937401999E-2</v>
      </c>
      <c r="R83" s="98">
        <v>2.8915099218949199E-2</v>
      </c>
    </row>
    <row r="84" spans="1:18" ht="15">
      <c r="A84" s="97">
        <v>80</v>
      </c>
      <c r="B84" s="98">
        <v>4.802895075E-2</v>
      </c>
      <c r="C84" s="98">
        <v>5.3724083249999999E-2</v>
      </c>
      <c r="D84" s="98">
        <v>2.6805943899593201E-2</v>
      </c>
      <c r="E84" s="98">
        <v>3.2404928749999999E-2</v>
      </c>
      <c r="F84" s="98">
        <v>3.54314268125E-2</v>
      </c>
      <c r="G84" s="99">
        <v>3.0201605447259999E-2</v>
      </c>
      <c r="H84" s="97">
        <v>80</v>
      </c>
      <c r="I84" s="98">
        <v>4.802895075E-2</v>
      </c>
      <c r="J84" s="98">
        <v>5.3724083249999999E-2</v>
      </c>
      <c r="K84" s="98">
        <v>2.0996523485789401E-2</v>
      </c>
      <c r="L84" s="98">
        <v>3.4239169999999999E-2</v>
      </c>
      <c r="M84" s="98">
        <v>3.54314268125E-2</v>
      </c>
      <c r="N84" s="99">
        <v>2.5123030649213399E-2</v>
      </c>
      <c r="O84" s="97">
        <v>80</v>
      </c>
      <c r="P84" s="98">
        <v>3.6477213195966002E-2</v>
      </c>
      <c r="Q84" s="98">
        <v>4.0211573531657399E-2</v>
      </c>
      <c r="R84" s="98">
        <v>2.86105639972043E-2</v>
      </c>
    </row>
    <row r="85" spans="1:18" ht="15">
      <c r="A85" s="97">
        <v>81</v>
      </c>
      <c r="B85" s="98">
        <v>5.4634909756875003E-2</v>
      </c>
      <c r="C85" s="98">
        <v>6.0770213888125001E-2</v>
      </c>
      <c r="D85" s="98">
        <v>2.62363931519181E-2</v>
      </c>
      <c r="E85" s="98">
        <v>3.7550078728124998E-2</v>
      </c>
      <c r="F85" s="98">
        <v>4.0879342627968801E-2</v>
      </c>
      <c r="G85" s="99">
        <v>2.98517539180067E-2</v>
      </c>
      <c r="H85" s="97">
        <v>81</v>
      </c>
      <c r="I85" s="98">
        <v>5.4634909756875003E-2</v>
      </c>
      <c r="J85" s="98">
        <v>6.0770213888125001E-2</v>
      </c>
      <c r="K85" s="98">
        <v>2.00333458068205E-2</v>
      </c>
      <c r="L85" s="98">
        <v>3.9567814425E-2</v>
      </c>
      <c r="M85" s="98">
        <v>4.0879342627968801E-2</v>
      </c>
      <c r="N85" s="99">
        <v>2.4258748948580801E-2</v>
      </c>
      <c r="O85" s="97">
        <v>81</v>
      </c>
      <c r="P85" s="98">
        <v>4.1900327093718201E-2</v>
      </c>
      <c r="Q85" s="98">
        <v>4.5958071880562799E-2</v>
      </c>
      <c r="R85" s="98">
        <v>2.81647044046223E-2</v>
      </c>
    </row>
    <row r="86" spans="1:18" ht="15">
      <c r="A86" s="97">
        <v>82</v>
      </c>
      <c r="B86" s="98">
        <v>6.2310013932499998E-2</v>
      </c>
      <c r="C86" s="98">
        <v>6.8912807007499993E-2</v>
      </c>
      <c r="D86" s="98">
        <v>2.5544757451413901E-2</v>
      </c>
      <c r="E86" s="98">
        <v>4.3529553924999999E-2</v>
      </c>
      <c r="F86" s="98">
        <v>4.7180279038750002E-2</v>
      </c>
      <c r="G86" s="99">
        <v>2.9433564517181099E-2</v>
      </c>
      <c r="H86" s="97">
        <v>82</v>
      </c>
      <c r="I86" s="98">
        <v>6.2310013932499998E-2</v>
      </c>
      <c r="J86" s="98">
        <v>6.8912807007499993E-2</v>
      </c>
      <c r="K86" s="98">
        <v>1.8935642373900798E-2</v>
      </c>
      <c r="L86" s="98">
        <v>4.5742114600000001E-2</v>
      </c>
      <c r="M86" s="98">
        <v>4.7180279038750002E-2</v>
      </c>
      <c r="N86" s="99">
        <v>2.3252605331208501E-2</v>
      </c>
      <c r="O86" s="97">
        <v>82</v>
      </c>
      <c r="P86" s="98">
        <v>4.8173762313433101E-2</v>
      </c>
      <c r="Q86" s="98">
        <v>5.2570330306596698E-2</v>
      </c>
      <c r="R86" s="98">
        <v>2.76225320474917E-2</v>
      </c>
    </row>
    <row r="87" spans="1:18" ht="15">
      <c r="A87" s="97">
        <v>83</v>
      </c>
      <c r="B87" s="98">
        <v>7.0771464610625001E-2</v>
      </c>
      <c r="C87" s="98">
        <v>7.7820900404375004E-2</v>
      </c>
      <c r="D87" s="98">
        <v>2.4822831458300401E-2</v>
      </c>
      <c r="E87" s="98">
        <v>5.04791189625E-2</v>
      </c>
      <c r="F87" s="98">
        <v>5.4468393819375002E-2</v>
      </c>
      <c r="G87" s="99">
        <v>2.88691472788896E-2</v>
      </c>
      <c r="H87" s="97">
        <v>83</v>
      </c>
      <c r="I87" s="98">
        <v>7.0771464610625001E-2</v>
      </c>
      <c r="J87" s="98">
        <v>7.7820900404375004E-2</v>
      </c>
      <c r="K87" s="98">
        <v>1.7781662703159801E-2</v>
      </c>
      <c r="L87" s="98">
        <v>5.28968613E-2</v>
      </c>
      <c r="M87" s="98">
        <v>5.4468393819375002E-2</v>
      </c>
      <c r="N87" s="99">
        <v>2.2103056246855501E-2</v>
      </c>
      <c r="O87" s="97">
        <v>83</v>
      </c>
      <c r="P87" s="98">
        <v>5.5336519202462103E-2</v>
      </c>
      <c r="Q87" s="98">
        <v>6.0074592070255797E-2</v>
      </c>
      <c r="R87" s="98">
        <v>2.6995462935333999E-2</v>
      </c>
    </row>
    <row r="88" spans="1:18" ht="15">
      <c r="A88" s="97">
        <v>84</v>
      </c>
      <c r="B88" s="98">
        <v>7.9758719039999995E-2</v>
      </c>
      <c r="C88" s="98">
        <v>8.719542944E-2</v>
      </c>
      <c r="D88" s="98">
        <v>2.3996523485789401E-2</v>
      </c>
      <c r="E88" s="98">
        <v>5.8553811999999997E-2</v>
      </c>
      <c r="F88" s="98">
        <v>6.2896004800000002E-2</v>
      </c>
      <c r="G88" s="99">
        <v>2.8123030649213399E-2</v>
      </c>
      <c r="H88" s="97">
        <v>84</v>
      </c>
      <c r="I88" s="98">
        <v>7.9758719039999995E-2</v>
      </c>
      <c r="J88" s="98">
        <v>8.719542944E-2</v>
      </c>
      <c r="K88" s="98">
        <v>1.6607861339362099E-2</v>
      </c>
      <c r="L88" s="98">
        <v>6.1185443999999999E-2</v>
      </c>
      <c r="M88" s="98">
        <v>6.2896004800000002E-2</v>
      </c>
      <c r="N88" s="99">
        <v>2.0796417724536501E-2</v>
      </c>
      <c r="O88" s="97">
        <v>84</v>
      </c>
      <c r="P88" s="98">
        <v>6.3434923657566394E-2</v>
      </c>
      <c r="Q88" s="98">
        <v>6.85067117342677E-2</v>
      </c>
      <c r="R88" s="98">
        <v>2.62368859759128E-2</v>
      </c>
    </row>
    <row r="89" spans="1:18" ht="15">
      <c r="A89" s="97">
        <v>85</v>
      </c>
      <c r="B89" s="98">
        <v>8.9558706328125001E-2</v>
      </c>
      <c r="C89" s="98">
        <v>9.7339480546874996E-2</v>
      </c>
      <c r="D89" s="98">
        <v>2.30333458068205E-2</v>
      </c>
      <c r="E89" s="98">
        <v>6.7933124999999997E-2</v>
      </c>
      <c r="F89" s="98">
        <v>7.2638718749999998E-2</v>
      </c>
      <c r="G89" s="99">
        <v>2.72587489485808E-2</v>
      </c>
      <c r="H89" s="97">
        <v>85</v>
      </c>
      <c r="I89" s="98">
        <v>8.9558706328125001E-2</v>
      </c>
      <c r="J89" s="98">
        <v>9.7339480546874996E-2</v>
      </c>
      <c r="K89" s="98">
        <v>1.54735661540453E-2</v>
      </c>
      <c r="L89" s="98">
        <v>7.0785000000000001E-2</v>
      </c>
      <c r="M89" s="98">
        <v>7.2638718749999998E-2</v>
      </c>
      <c r="N89" s="99">
        <v>1.9387592383510399E-2</v>
      </c>
      <c r="O89" s="97">
        <v>85</v>
      </c>
      <c r="P89" s="98">
        <v>7.26603854576785E-2</v>
      </c>
      <c r="Q89" s="98">
        <v>7.8058834508757599E-2</v>
      </c>
      <c r="R89" s="98">
        <v>2.53604636587118E-2</v>
      </c>
    </row>
    <row r="90" spans="1:18" ht="15">
      <c r="A90" s="97">
        <v>86</v>
      </c>
      <c r="B90" s="98">
        <v>0.10031466560000001</v>
      </c>
      <c r="C90" s="98">
        <v>0.1083941216</v>
      </c>
      <c r="D90" s="98">
        <v>2.1935642373900801E-2</v>
      </c>
      <c r="E90" s="98">
        <v>7.8826273000000002E-2</v>
      </c>
      <c r="F90" s="98">
        <v>8.390052295E-2</v>
      </c>
      <c r="G90" s="99">
        <v>2.62526053312085E-2</v>
      </c>
      <c r="H90" s="97">
        <v>86</v>
      </c>
      <c r="I90" s="98">
        <v>0.10031466560000001</v>
      </c>
      <c r="J90" s="98">
        <v>0.1083941216</v>
      </c>
      <c r="K90" s="98">
        <v>1.4422247766252E-2</v>
      </c>
      <c r="L90" s="98">
        <v>8.1901576000000004E-2</v>
      </c>
      <c r="M90" s="98">
        <v>8.390052295E-2</v>
      </c>
      <c r="N90" s="99">
        <v>1.79621380814304E-2</v>
      </c>
      <c r="O90" s="97">
        <v>86</v>
      </c>
      <c r="P90" s="98">
        <v>8.3210745136327202E-2</v>
      </c>
      <c r="Q90" s="98">
        <v>8.8925315067086105E-2</v>
      </c>
      <c r="R90" s="98">
        <v>2.4354009081271801E-2</v>
      </c>
    </row>
    <row r="91" spans="1:18" ht="15">
      <c r="A91" s="97">
        <v>87</v>
      </c>
      <c r="B91" s="98">
        <v>0.11229702147749999</v>
      </c>
      <c r="C91" s="98">
        <v>0.1206340375025</v>
      </c>
      <c r="D91" s="98">
        <v>2.0781662703159801E-2</v>
      </c>
      <c r="E91" s="98">
        <v>9.0922222181249998E-2</v>
      </c>
      <c r="F91" s="98">
        <v>9.6330478114687507E-2</v>
      </c>
      <c r="G91" s="99">
        <v>2.51030562468555E-2</v>
      </c>
      <c r="H91" s="97">
        <v>87</v>
      </c>
      <c r="I91" s="98">
        <v>0.11229702147749999</v>
      </c>
      <c r="J91" s="98">
        <v>0.1206340375025</v>
      </c>
      <c r="K91" s="98">
        <v>1.3401819865737401E-2</v>
      </c>
      <c r="L91" s="98">
        <v>9.4199953049999993E-2</v>
      </c>
      <c r="M91" s="98">
        <v>9.6330478114687507E-2</v>
      </c>
      <c r="N91" s="99">
        <v>1.6548347926702799E-2</v>
      </c>
      <c r="O91" s="97">
        <v>87</v>
      </c>
      <c r="P91" s="98">
        <v>9.4955441381713801E-2</v>
      </c>
      <c r="Q91" s="98">
        <v>0.10094754162821</v>
      </c>
      <c r="R91" s="98">
        <v>2.3239692386413501E-2</v>
      </c>
    </row>
    <row r="92" spans="1:18" ht="15">
      <c r="A92" s="97">
        <v>88</v>
      </c>
      <c r="B92" s="98">
        <v>0.12577961838000001</v>
      </c>
      <c r="C92" s="98">
        <v>0.13433149218000001</v>
      </c>
      <c r="D92" s="98">
        <v>1.9607861339362102E-2</v>
      </c>
      <c r="E92" s="98">
        <v>0.10425843535</v>
      </c>
      <c r="F92" s="98">
        <v>0.10995171720249999</v>
      </c>
      <c r="G92" s="99">
        <v>2.3796417724536501E-2</v>
      </c>
      <c r="H92" s="97">
        <v>88</v>
      </c>
      <c r="I92" s="98">
        <v>0.12577961838000001</v>
      </c>
      <c r="J92" s="98">
        <v>0.13433149218000001</v>
      </c>
      <c r="K92" s="98">
        <v>1.24640802840851E-2</v>
      </c>
      <c r="L92" s="98">
        <v>0.10770890919999999</v>
      </c>
      <c r="M92" s="98">
        <v>0.10995171720249999</v>
      </c>
      <c r="N92" s="99">
        <v>1.51651379470967E-2</v>
      </c>
      <c r="O92" s="97">
        <v>88</v>
      </c>
      <c r="P92" s="98">
        <v>0.108025072656557</v>
      </c>
      <c r="Q92" s="98">
        <v>0.114246899723684</v>
      </c>
      <c r="R92" s="98">
        <v>2.2022524128970201E-2</v>
      </c>
    </row>
    <row r="93" spans="1:18" ht="15">
      <c r="A93" s="97">
        <v>89</v>
      </c>
      <c r="B93" s="98">
        <v>0.14117500919437501</v>
      </c>
      <c r="C93" s="98">
        <v>0.14990008895062501</v>
      </c>
      <c r="D93" s="98">
        <v>1.8473566154045301E-2</v>
      </c>
      <c r="E93" s="98">
        <v>0.11934966763125</v>
      </c>
      <c r="F93" s="98">
        <v>0.12528822523218699</v>
      </c>
      <c r="G93" s="99">
        <v>2.2387592383510398E-2</v>
      </c>
      <c r="H93" s="97">
        <v>89</v>
      </c>
      <c r="I93" s="98">
        <v>0.14117500919437501</v>
      </c>
      <c r="J93" s="98">
        <v>0.14990008895062501</v>
      </c>
      <c r="K93" s="98">
        <v>1.14899548001808E-2</v>
      </c>
      <c r="L93" s="98">
        <v>0.12294879345</v>
      </c>
      <c r="M93" s="98">
        <v>0.12528822523218699</v>
      </c>
      <c r="N93" s="99">
        <v>1.3860800015978799E-2</v>
      </c>
      <c r="O93" s="97">
        <v>89</v>
      </c>
      <c r="P93" s="98">
        <v>0.122932356348781</v>
      </c>
      <c r="Q93" s="98">
        <v>0.12934599684651399</v>
      </c>
      <c r="R93" s="98">
        <v>2.0760290919838401E-2</v>
      </c>
    </row>
    <row r="94" spans="1:18" ht="15">
      <c r="A94" s="97">
        <v>90</v>
      </c>
      <c r="B94" s="98">
        <v>0.1587398521875</v>
      </c>
      <c r="C94" s="98">
        <v>0.16757978031250001</v>
      </c>
      <c r="D94" s="98">
        <v>1.7422247766252001E-2</v>
      </c>
      <c r="E94" s="98">
        <v>0.13638010187499999</v>
      </c>
      <c r="F94" s="98">
        <v>0.14250924653124999</v>
      </c>
      <c r="G94" s="99">
        <v>2.0962138081430399E-2</v>
      </c>
      <c r="H94" s="97">
        <v>90</v>
      </c>
      <c r="I94" s="98">
        <v>0.1587398521875</v>
      </c>
      <c r="J94" s="98">
        <v>0.16757978031250001</v>
      </c>
      <c r="K94" s="98">
        <v>1.04426925985987E-2</v>
      </c>
      <c r="L94" s="98">
        <v>0.140094735</v>
      </c>
      <c r="M94" s="98">
        <v>0.14250924653124999</v>
      </c>
      <c r="N94" s="99">
        <v>1.2666594853186599E-2</v>
      </c>
      <c r="O94" s="97">
        <v>90</v>
      </c>
      <c r="P94" s="98">
        <v>0.13988207123688901</v>
      </c>
      <c r="Q94" s="98">
        <v>0.146434997068739</v>
      </c>
      <c r="R94" s="98">
        <v>1.9516399267993801E-2</v>
      </c>
    </row>
    <row r="95" spans="1:18" ht="15">
      <c r="A95" s="97">
        <v>91</v>
      </c>
      <c r="B95" s="98">
        <v>0.17870285382125001</v>
      </c>
      <c r="C95" s="98">
        <v>0.18757627140874999</v>
      </c>
      <c r="D95" s="98">
        <v>1.64018198657374E-2</v>
      </c>
      <c r="E95" s="98">
        <v>0.15544510149374999</v>
      </c>
      <c r="F95" s="98">
        <v>0.16168890288656201</v>
      </c>
      <c r="G95" s="99">
        <v>1.9548347926702798E-2</v>
      </c>
      <c r="H95" s="97">
        <v>91</v>
      </c>
      <c r="I95" s="98">
        <v>0.17870285382125001</v>
      </c>
      <c r="J95" s="98">
        <v>0.18757627140874999</v>
      </c>
      <c r="K95" s="98">
        <v>9.2291127893980793E-3</v>
      </c>
      <c r="L95" s="98">
        <v>0.15922922354999999</v>
      </c>
      <c r="M95" s="98">
        <v>0.16168890288656201</v>
      </c>
      <c r="N95" s="99">
        <v>1.1595716182855599E-2</v>
      </c>
      <c r="O95" s="97">
        <v>91</v>
      </c>
      <c r="P95" s="98">
        <v>0.15896686413232</v>
      </c>
      <c r="Q95" s="98">
        <v>0.16558255519514201</v>
      </c>
      <c r="R95" s="98">
        <v>1.8282270774391599E-2</v>
      </c>
    </row>
    <row r="96" spans="1:18" ht="15">
      <c r="A96" s="97">
        <v>92</v>
      </c>
      <c r="B96" s="98">
        <v>0.20099785043999999</v>
      </c>
      <c r="C96" s="98">
        <v>0.20978357483999999</v>
      </c>
      <c r="D96" s="98">
        <v>1.5464080284085101E-2</v>
      </c>
      <c r="E96" s="98">
        <v>0.1767113226</v>
      </c>
      <c r="F96" s="98">
        <v>0.18297424178999999</v>
      </c>
      <c r="G96" s="99">
        <v>1.8165137947096701E-2</v>
      </c>
      <c r="H96" s="97">
        <v>92</v>
      </c>
      <c r="I96" s="98">
        <v>0.20099785043999999</v>
      </c>
      <c r="J96" s="98">
        <v>0.20978357483999999</v>
      </c>
      <c r="K96" s="98">
        <v>7.8911538544477796E-3</v>
      </c>
      <c r="L96" s="98">
        <v>0.1805070312</v>
      </c>
      <c r="M96" s="98">
        <v>0.18297424178999999</v>
      </c>
      <c r="N96" s="99">
        <v>1.04717808978843E-2</v>
      </c>
      <c r="O96" s="97">
        <v>92</v>
      </c>
      <c r="P96" s="98">
        <v>0.18033378027442101</v>
      </c>
      <c r="Q96" s="98">
        <v>0.186916562924928</v>
      </c>
      <c r="R96" s="98">
        <v>1.7092040344309199E-2</v>
      </c>
    </row>
    <row r="97" spans="1:18" ht="15">
      <c r="A97" s="97">
        <v>93</v>
      </c>
      <c r="B97" s="98">
        <v>0.22543725173812501</v>
      </c>
      <c r="C97" s="98">
        <v>0.233972935056875</v>
      </c>
      <c r="D97" s="98">
        <v>1.4489954800180799E-2</v>
      </c>
      <c r="E97" s="98">
        <v>0.200274594025</v>
      </c>
      <c r="F97" s="98">
        <v>0.20643719845375</v>
      </c>
      <c r="G97" s="99">
        <v>1.68608000159788E-2</v>
      </c>
      <c r="H97" s="97">
        <v>93</v>
      </c>
      <c r="I97" s="98">
        <v>0.22543725173812501</v>
      </c>
      <c r="J97" s="98">
        <v>0.233972935056875</v>
      </c>
      <c r="K97" s="98">
        <v>6.5022621995341704E-3</v>
      </c>
      <c r="L97" s="98">
        <v>0.20400950579999999</v>
      </c>
      <c r="M97" s="98">
        <v>0.20643719845375</v>
      </c>
      <c r="N97" s="99">
        <v>9.2973292122596404E-3</v>
      </c>
      <c r="O97" s="97">
        <v>93</v>
      </c>
      <c r="P97" s="98">
        <v>0.20389653402899099</v>
      </c>
      <c r="Q97" s="98">
        <v>0.21031505237999501</v>
      </c>
      <c r="R97" s="98">
        <v>1.5929963482809999E-2</v>
      </c>
    </row>
    <row r="98" spans="1:18" ht="15">
      <c r="A98" s="97">
        <v>94</v>
      </c>
      <c r="B98" s="98">
        <v>0.25180064568749999</v>
      </c>
      <c r="C98" s="98">
        <v>0.25988775881249998</v>
      </c>
      <c r="D98" s="98">
        <v>1.3442692598598699E-2</v>
      </c>
      <c r="E98" s="98">
        <v>0.22604776292500001</v>
      </c>
      <c r="F98" s="98">
        <v>0.23196129638874999</v>
      </c>
      <c r="G98" s="99">
        <v>1.56665948531866E-2</v>
      </c>
      <c r="H98" s="97">
        <v>94</v>
      </c>
      <c r="I98" s="98">
        <v>0.25180064568749999</v>
      </c>
      <c r="J98" s="98">
        <v>0.25988775881249998</v>
      </c>
      <c r="K98" s="98">
        <v>5.3270032619554403E-3</v>
      </c>
      <c r="L98" s="98">
        <v>0.2296317226</v>
      </c>
      <c r="M98" s="98">
        <v>0.23196129638874999</v>
      </c>
      <c r="N98" s="99">
        <v>8.1389988591785995E-3</v>
      </c>
      <c r="O98" s="97">
        <v>94</v>
      </c>
      <c r="P98" s="98">
        <v>0.22945396341534099</v>
      </c>
      <c r="Q98" s="98">
        <v>0.23553894169970299</v>
      </c>
      <c r="R98" s="98">
        <v>1.48065210566989E-2</v>
      </c>
    </row>
    <row r="99" spans="1:18" ht="15">
      <c r="A99" s="97">
        <v>95</v>
      </c>
      <c r="B99" s="98">
        <v>0.27991570492187501</v>
      </c>
      <c r="C99" s="98">
        <v>0.28732741820312502</v>
      </c>
      <c r="D99" s="98">
        <v>1.2229112789398099E-2</v>
      </c>
      <c r="E99" s="98">
        <v>0.253763755859375</v>
      </c>
      <c r="F99" s="98">
        <v>0.259249042285156</v>
      </c>
      <c r="G99" s="99">
        <v>1.45957161828556E-2</v>
      </c>
      <c r="H99" s="97">
        <v>95</v>
      </c>
      <c r="I99" s="98">
        <v>0.27991570492187501</v>
      </c>
      <c r="J99" s="98">
        <v>0.28732741820312502</v>
      </c>
      <c r="K99" s="98">
        <v>4.3123469727464501E-3</v>
      </c>
      <c r="L99" s="98">
        <v>0.25708817187499999</v>
      </c>
      <c r="M99" s="98">
        <v>0.259249042285156</v>
      </c>
      <c r="N99" s="99">
        <v>7.0141395067454104E-3</v>
      </c>
      <c r="O99" s="97">
        <v>95</v>
      </c>
      <c r="P99" s="98">
        <v>0.25657137019752102</v>
      </c>
      <c r="Q99" s="98">
        <v>0.26210626173492702</v>
      </c>
      <c r="R99" s="98">
        <v>1.3699500972249199E-2</v>
      </c>
    </row>
    <row r="100" spans="1:18" ht="15">
      <c r="A100" s="97">
        <v>96</v>
      </c>
      <c r="B100" s="98">
        <v>0.30968930028000002</v>
      </c>
      <c r="C100" s="98">
        <v>0.31617744308000001</v>
      </c>
      <c r="D100" s="98">
        <v>1.08911538544478E-2</v>
      </c>
      <c r="E100" s="98">
        <v>0.28307140359999999</v>
      </c>
      <c r="F100" s="98">
        <v>0.28792339294000002</v>
      </c>
      <c r="G100" s="99">
        <v>1.3471780897884301E-2</v>
      </c>
      <c r="H100" s="97">
        <v>96</v>
      </c>
      <c r="I100" s="98">
        <v>0.30968930028000002</v>
      </c>
      <c r="J100" s="98">
        <v>0.31617744308000001</v>
      </c>
      <c r="K100" s="98">
        <v>3.2976906835374699E-3</v>
      </c>
      <c r="L100" s="98">
        <v>0.28601200319999998</v>
      </c>
      <c r="M100" s="98">
        <v>0.28792339294000002</v>
      </c>
      <c r="N100" s="99">
        <v>5.8892801543122299E-3</v>
      </c>
      <c r="O100" s="97">
        <v>96</v>
      </c>
      <c r="P100" s="98">
        <v>0.28508760827958401</v>
      </c>
      <c r="Q100" s="98">
        <v>0.28984459376292099</v>
      </c>
      <c r="R100" s="98">
        <v>1.2516145836446E-2</v>
      </c>
    </row>
    <row r="101" spans="1:18" ht="15">
      <c r="A101" s="97">
        <v>97</v>
      </c>
      <c r="B101" s="98">
        <v>0.34109038305875</v>
      </c>
      <c r="C101" s="98">
        <v>0.34638977427125001</v>
      </c>
      <c r="D101" s="98">
        <v>9.5022621995341696E-3</v>
      </c>
      <c r="E101" s="98">
        <v>0.31397077732500001</v>
      </c>
      <c r="F101" s="98">
        <v>0.31797030814874999</v>
      </c>
      <c r="G101" s="99">
        <v>1.22973292122596E-2</v>
      </c>
      <c r="H101" s="97">
        <v>97</v>
      </c>
      <c r="I101" s="98">
        <v>0.34109038305875</v>
      </c>
      <c r="J101" s="98">
        <v>0.34638977427125001</v>
      </c>
      <c r="K101" s="98">
        <v>2.2830343943284902E-3</v>
      </c>
      <c r="L101" s="98">
        <v>0.31639473540000002</v>
      </c>
      <c r="M101" s="98">
        <v>0.31797030814874999</v>
      </c>
      <c r="N101" s="99">
        <v>4.7644208018790503E-3</v>
      </c>
      <c r="O101" s="97">
        <v>97</v>
      </c>
      <c r="P101" s="98">
        <v>0.31506661237043199</v>
      </c>
      <c r="Q101" s="98">
        <v>0.318812728117225</v>
      </c>
      <c r="R101" s="98">
        <v>1.12886903699506E-2</v>
      </c>
    </row>
    <row r="102" spans="1:18" ht="15">
      <c r="A102" s="97">
        <v>98</v>
      </c>
      <c r="B102" s="98">
        <v>0.37410301631249998</v>
      </c>
      <c r="C102" s="98">
        <v>0.37793352318750001</v>
      </c>
      <c r="D102" s="98">
        <v>8.3270032619554395E-3</v>
      </c>
      <c r="E102" s="98">
        <v>0.3465236987375</v>
      </c>
      <c r="F102" s="98">
        <v>0.34943895563562499</v>
      </c>
      <c r="G102" s="99">
        <v>1.11389988591786E-2</v>
      </c>
      <c r="H102" s="97">
        <v>98</v>
      </c>
      <c r="I102" s="98">
        <v>0.37410301631249998</v>
      </c>
      <c r="J102" s="98">
        <v>0.37793352318750001</v>
      </c>
      <c r="K102" s="98">
        <v>1.2683781051195E-3</v>
      </c>
      <c r="L102" s="98">
        <v>0.34829052109999997</v>
      </c>
      <c r="M102" s="98">
        <v>0.34943895563562499</v>
      </c>
      <c r="N102" s="99">
        <v>3.6395614494458598E-3</v>
      </c>
      <c r="O102" s="97">
        <v>98</v>
      </c>
      <c r="P102" s="98">
        <v>0.34695495837205198</v>
      </c>
      <c r="Q102" s="98">
        <v>0.34948049670324499</v>
      </c>
      <c r="R102" s="98">
        <v>1.0159485819819101E-2</v>
      </c>
    </row>
    <row r="103" spans="1:18" ht="15">
      <c r="A103" s="97">
        <v>99</v>
      </c>
      <c r="B103" s="98">
        <v>0.408722595391875</v>
      </c>
      <c r="C103" s="98">
        <v>0.41079069837312499</v>
      </c>
      <c r="D103" s="98">
        <v>7.3123469727464502E-3</v>
      </c>
      <c r="E103" s="98">
        <v>0.38073071202187497</v>
      </c>
      <c r="F103" s="98">
        <v>0.38231683648453102</v>
      </c>
      <c r="G103" s="99">
        <v>1.0014139506745399E-2</v>
      </c>
      <c r="H103" s="97">
        <v>99</v>
      </c>
      <c r="I103" s="98">
        <v>0.408722595391875</v>
      </c>
      <c r="J103" s="98">
        <v>0.41079069837312499</v>
      </c>
      <c r="K103" s="98">
        <v>2.5372181591051899E-4</v>
      </c>
      <c r="L103" s="98">
        <v>0.381691999575</v>
      </c>
      <c r="M103" s="98">
        <v>0.38231683648453102</v>
      </c>
      <c r="N103" s="99">
        <v>2.5147020970126802E-3</v>
      </c>
      <c r="O103" s="97">
        <v>99</v>
      </c>
      <c r="P103" s="98">
        <v>0.38075917182014002</v>
      </c>
      <c r="Q103" s="98">
        <v>0.38184500628003099</v>
      </c>
      <c r="R103" s="98">
        <v>9.1155104340108397E-3</v>
      </c>
    </row>
    <row r="104" spans="1:18" ht="15">
      <c r="A104" s="97">
        <v>100</v>
      </c>
      <c r="B104" s="98">
        <v>0.44494210000000001</v>
      </c>
      <c r="C104" s="98">
        <v>0.44494210000000001</v>
      </c>
      <c r="D104" s="98">
        <v>6.3649410229364902E-3</v>
      </c>
      <c r="E104" s="98">
        <v>0.4165604</v>
      </c>
      <c r="F104" s="98">
        <v>0.4165604</v>
      </c>
      <c r="G104" s="99">
        <v>8.9501557532365803E-3</v>
      </c>
      <c r="H104" s="97">
        <v>100</v>
      </c>
      <c r="I104" s="98">
        <v>0.44494210000000001</v>
      </c>
      <c r="J104" s="98">
        <v>0.44494210000000001</v>
      </c>
      <c r="K104" s="98">
        <v>0</v>
      </c>
      <c r="L104" s="98">
        <v>0.4165604</v>
      </c>
      <c r="M104" s="98">
        <v>0.4165604</v>
      </c>
      <c r="N104" s="99">
        <v>1.3898427445794999E-3</v>
      </c>
      <c r="O104" s="97">
        <v>100</v>
      </c>
      <c r="P104" s="98">
        <v>0.41627359925774499</v>
      </c>
      <c r="Q104" s="98">
        <v>0.41567825202936098</v>
      </c>
      <c r="R104" s="98">
        <v>8.1374413739061808E-3</v>
      </c>
    </row>
    <row r="105" spans="1:18" ht="15">
      <c r="A105" s="97">
        <v>101</v>
      </c>
      <c r="B105" s="98">
        <v>0.4710857</v>
      </c>
      <c r="C105" s="98">
        <v>0.4710857</v>
      </c>
      <c r="D105" s="98">
        <v>5.5402833558708597E-3</v>
      </c>
      <c r="E105" s="98">
        <v>0.44385239999999998</v>
      </c>
      <c r="F105" s="98">
        <v>0.44385239999999998</v>
      </c>
      <c r="G105" s="99">
        <v>7.9992183006074302E-3</v>
      </c>
      <c r="H105" s="97">
        <v>101</v>
      </c>
      <c r="I105" s="98">
        <v>0.4710857</v>
      </c>
      <c r="J105" s="98">
        <v>0.4710857</v>
      </c>
      <c r="K105" s="98">
        <v>0</v>
      </c>
      <c r="L105" s="98">
        <v>0.44385239999999998</v>
      </c>
      <c r="M105" s="98">
        <v>0.44385239999999998</v>
      </c>
      <c r="N105" s="99">
        <v>2.64983392146312E-4</v>
      </c>
      <c r="O105" s="97">
        <v>101</v>
      </c>
      <c r="P105" s="98">
        <v>0.44326874786543602</v>
      </c>
      <c r="Q105" s="98">
        <v>0.44270023488933502</v>
      </c>
      <c r="R105" s="98">
        <v>7.2801265018959203E-3</v>
      </c>
    </row>
    <row r="106" spans="1:18" ht="15">
      <c r="A106" s="97">
        <v>102</v>
      </c>
      <c r="B106" s="98">
        <v>0.49725659999999999</v>
      </c>
      <c r="C106" s="98">
        <v>0.49725659999999999</v>
      </c>
      <c r="D106" s="98">
        <v>4.8224703972478498E-3</v>
      </c>
      <c r="E106" s="98">
        <v>0.47117690000000001</v>
      </c>
      <c r="F106" s="98">
        <v>0.47117690000000001</v>
      </c>
      <c r="G106" s="99">
        <v>7.1493161890097299E-3</v>
      </c>
      <c r="H106" s="97">
        <v>102</v>
      </c>
      <c r="I106" s="98">
        <v>0.49725659999999999</v>
      </c>
      <c r="J106" s="98">
        <v>0.49725659999999999</v>
      </c>
      <c r="K106" s="98">
        <v>0</v>
      </c>
      <c r="L106" s="98">
        <v>0.47117690000000001</v>
      </c>
      <c r="M106" s="98">
        <v>0.47117690000000001</v>
      </c>
      <c r="N106" s="99">
        <v>0</v>
      </c>
      <c r="O106" s="97">
        <v>102</v>
      </c>
      <c r="P106" s="98">
        <v>0.47045938012113903</v>
      </c>
      <c r="Q106" s="98">
        <v>0.46992409015209102</v>
      </c>
      <c r="R106" s="98">
        <v>6.52378025211318E-3</v>
      </c>
    </row>
    <row r="107" spans="1:18" ht="15">
      <c r="A107" s="97">
        <v>103</v>
      </c>
      <c r="B107" s="98">
        <v>0.52343419999999996</v>
      </c>
      <c r="C107" s="98">
        <v>0.52343419999999996</v>
      </c>
      <c r="D107" s="98">
        <v>4.1976590796006701E-3</v>
      </c>
      <c r="E107" s="98">
        <v>0.49850369999999999</v>
      </c>
      <c r="F107" s="98">
        <v>0.49850369999999999</v>
      </c>
      <c r="G107" s="99">
        <v>6.3897146008073504E-3</v>
      </c>
      <c r="H107" s="97">
        <v>103</v>
      </c>
      <c r="I107" s="98">
        <v>0.52343419999999996</v>
      </c>
      <c r="J107" s="98">
        <v>0.52343419999999996</v>
      </c>
      <c r="K107" s="98">
        <v>0</v>
      </c>
      <c r="L107" s="98">
        <v>0.49850369999999999</v>
      </c>
      <c r="M107" s="98">
        <v>0.49850369999999999</v>
      </c>
      <c r="N107" s="99">
        <v>0</v>
      </c>
      <c r="O107" s="97">
        <v>103</v>
      </c>
      <c r="P107" s="98">
        <v>0.49779678622371099</v>
      </c>
      <c r="Q107" s="98">
        <v>0.49729988439311501</v>
      </c>
      <c r="R107" s="98">
        <v>5.85486471486298E-3</v>
      </c>
    </row>
    <row r="108" spans="1:18" ht="15">
      <c r="A108" s="97">
        <v>104</v>
      </c>
      <c r="B108" s="98">
        <v>0.54961210000000005</v>
      </c>
      <c r="C108" s="98">
        <v>0.54961210000000005</v>
      </c>
      <c r="D108" s="98">
        <v>3.6537998778820501E-3</v>
      </c>
      <c r="E108" s="98">
        <v>0.52582960000000001</v>
      </c>
      <c r="F108" s="98">
        <v>0.52582960000000001</v>
      </c>
      <c r="G108" s="99">
        <v>5.7108192728325602E-3</v>
      </c>
      <c r="H108" s="97">
        <v>104</v>
      </c>
      <c r="I108" s="98">
        <v>0.54961210000000005</v>
      </c>
      <c r="J108" s="98">
        <v>0.54961210000000005</v>
      </c>
      <c r="K108" s="98">
        <v>0</v>
      </c>
      <c r="L108" s="98">
        <v>0.52582960000000001</v>
      </c>
      <c r="M108" s="98">
        <v>0.52582960000000001</v>
      </c>
      <c r="N108" s="99">
        <v>0</v>
      </c>
      <c r="O108" s="97">
        <v>104</v>
      </c>
      <c r="P108" s="98">
        <v>0.52524964029142096</v>
      </c>
      <c r="Q108" s="98">
        <v>0.52479497842798695</v>
      </c>
      <c r="R108" s="98">
        <v>5.2615271279864697E-3</v>
      </c>
    </row>
    <row r="109" spans="1:18" ht="15">
      <c r="A109" s="97">
        <v>105</v>
      </c>
      <c r="B109" s="98">
        <v>0.57579000000000002</v>
      </c>
      <c r="C109" s="98">
        <v>0.57579000000000002</v>
      </c>
      <c r="D109" s="98">
        <v>3.1804044336256302E-3</v>
      </c>
      <c r="E109" s="98">
        <v>0.5531587</v>
      </c>
      <c r="F109" s="98">
        <v>0.5531587</v>
      </c>
      <c r="G109" s="99">
        <v>5.1040553145887003E-3</v>
      </c>
      <c r="H109" s="97">
        <v>105</v>
      </c>
      <c r="I109" s="98">
        <v>0.57579000000000002</v>
      </c>
      <c r="J109" s="98">
        <v>0.57579000000000002</v>
      </c>
      <c r="K109" s="98">
        <v>0</v>
      </c>
      <c r="L109" s="98">
        <v>0.5531587</v>
      </c>
      <c r="M109" s="98">
        <v>0.5531587</v>
      </c>
      <c r="N109" s="99">
        <v>0</v>
      </c>
      <c r="O109" s="97">
        <v>105</v>
      </c>
      <c r="P109" s="98">
        <v>0.55278922695617605</v>
      </c>
      <c r="Q109" s="98">
        <v>0.55237926467231901</v>
      </c>
      <c r="R109" s="98">
        <v>4.7334720201975596E-3</v>
      </c>
    </row>
    <row r="110" spans="1:18" ht="15">
      <c r="A110" s="97">
        <v>106</v>
      </c>
      <c r="B110" s="98">
        <v>0.60196850000000002</v>
      </c>
      <c r="C110" s="98">
        <v>0.60196850000000002</v>
      </c>
      <c r="D110" s="98">
        <v>2.76834328630193E-3</v>
      </c>
      <c r="E110" s="98">
        <v>0.58048900000000003</v>
      </c>
      <c r="F110" s="98">
        <v>0.58048900000000003</v>
      </c>
      <c r="G110" s="99">
        <v>4.5617589017941003E-3</v>
      </c>
      <c r="H110" s="97">
        <v>106</v>
      </c>
      <c r="I110" s="98">
        <v>0.60196850000000002</v>
      </c>
      <c r="J110" s="98">
        <v>0.60196850000000002</v>
      </c>
      <c r="K110" s="98">
        <v>0</v>
      </c>
      <c r="L110" s="98">
        <v>0.58048900000000003</v>
      </c>
      <c r="M110" s="98">
        <v>0.58048900000000003</v>
      </c>
      <c r="N110" s="99">
        <v>0</v>
      </c>
      <c r="O110" s="97">
        <v>106</v>
      </c>
      <c r="P110" s="98">
        <v>0.58038008496334803</v>
      </c>
      <c r="Q110" s="98">
        <v>0.58001585949646195</v>
      </c>
      <c r="R110" s="98">
        <v>4.2618516269906396E-3</v>
      </c>
    </row>
    <row r="111" spans="1:18" ht="15">
      <c r="A111" s="97">
        <v>107</v>
      </c>
      <c r="B111" s="98">
        <v>0.62814800000000004</v>
      </c>
      <c r="C111" s="98">
        <v>0.62814800000000004</v>
      </c>
      <c r="D111" s="98">
        <v>2.4096698111052499E-3</v>
      </c>
      <c r="E111" s="98">
        <v>0.60781940000000001</v>
      </c>
      <c r="F111" s="98">
        <v>0.60781940000000001</v>
      </c>
      <c r="G111" s="99">
        <v>4.07708047728604E-3</v>
      </c>
      <c r="H111" s="97">
        <v>107</v>
      </c>
      <c r="I111" s="98">
        <v>0.62814800000000004</v>
      </c>
      <c r="J111" s="98">
        <v>0.62814800000000004</v>
      </c>
      <c r="K111" s="98">
        <v>0</v>
      </c>
      <c r="L111" s="98">
        <v>0.60781940000000001</v>
      </c>
      <c r="M111" s="98">
        <v>0.60781940000000001</v>
      </c>
      <c r="N111" s="99">
        <v>0</v>
      </c>
      <c r="O111" s="97">
        <v>107</v>
      </c>
      <c r="P111" s="98">
        <v>0.60798902576568403</v>
      </c>
      <c r="Q111" s="98">
        <v>0.60767024053209395</v>
      </c>
      <c r="R111" s="98">
        <v>3.83916591620815E-3</v>
      </c>
    </row>
    <row r="112" spans="1:18" ht="15">
      <c r="A112" s="97">
        <v>108</v>
      </c>
      <c r="B112" s="98">
        <v>0.6543293</v>
      </c>
      <c r="C112" s="98">
        <v>0.6543293</v>
      </c>
      <c r="D112" s="98">
        <v>2.09746696780101E-3</v>
      </c>
      <c r="E112" s="98">
        <v>0.63514979999999999</v>
      </c>
      <c r="F112" s="98">
        <v>0.63514979999999999</v>
      </c>
      <c r="G112" s="99">
        <v>3.6438982366493499E-3</v>
      </c>
      <c r="H112" s="97">
        <v>108</v>
      </c>
      <c r="I112" s="98">
        <v>0.6543293</v>
      </c>
      <c r="J112" s="98">
        <v>0.6543293</v>
      </c>
      <c r="K112" s="98">
        <v>0</v>
      </c>
      <c r="L112" s="98">
        <v>0.63514979999999999</v>
      </c>
      <c r="M112" s="98">
        <v>0.63514979999999999</v>
      </c>
      <c r="N112" s="99">
        <v>0</v>
      </c>
      <c r="O112" s="97">
        <v>108</v>
      </c>
      <c r="P112" s="98">
        <v>0.63558788864328397</v>
      </c>
      <c r="Q112" s="98">
        <v>0.63531306667123399</v>
      </c>
      <c r="R112" s="98">
        <v>3.4591219113575301E-3</v>
      </c>
    </row>
    <row r="113" spans="1:18" ht="15">
      <c r="A113" s="97">
        <v>109</v>
      </c>
      <c r="B113" s="98">
        <v>0.68051269999999997</v>
      </c>
      <c r="C113" s="98">
        <v>0.68051269999999997</v>
      </c>
      <c r="D113" s="98">
        <v>1.8257139051754601E-3</v>
      </c>
      <c r="E113" s="98">
        <v>0.66247999999999996</v>
      </c>
      <c r="F113" s="98">
        <v>0.66247999999999996</v>
      </c>
      <c r="G113" s="99">
        <v>3.25674080583636E-3</v>
      </c>
      <c r="H113" s="97">
        <v>109</v>
      </c>
      <c r="I113" s="98">
        <v>0.68051269999999997</v>
      </c>
      <c r="J113" s="98">
        <v>0.68051269999999997</v>
      </c>
      <c r="K113" s="98">
        <v>0</v>
      </c>
      <c r="L113" s="98">
        <v>0.66247999999999996</v>
      </c>
      <c r="M113" s="98">
        <v>0.66247999999999996</v>
      </c>
      <c r="N113" s="99">
        <v>0</v>
      </c>
      <c r="O113" s="97">
        <v>109</v>
      </c>
      <c r="P113" s="98">
        <v>0.66315427442184505</v>
      </c>
      <c r="Q113" s="98">
        <v>0.662920962959203</v>
      </c>
      <c r="R113" s="98">
        <v>3.11648050830728E-3</v>
      </c>
    </row>
    <row r="114" spans="1:18" ht="15">
      <c r="A114" s="97">
        <v>110</v>
      </c>
      <c r="B114" s="98">
        <v>0.70669899999999997</v>
      </c>
      <c r="C114" s="98">
        <v>0.70669899999999997</v>
      </c>
      <c r="D114" s="98">
        <v>1.5891698485462199E-3</v>
      </c>
      <c r="E114" s="98">
        <v>0.68980989999999998</v>
      </c>
      <c r="F114" s="98">
        <v>0.68980989999999998</v>
      </c>
      <c r="G114" s="99">
        <v>2.91071813414649E-3</v>
      </c>
      <c r="H114" s="97">
        <v>110</v>
      </c>
      <c r="I114" s="98">
        <v>0.70669899999999997</v>
      </c>
      <c r="J114" s="98">
        <v>0.70669899999999997</v>
      </c>
      <c r="K114" s="98">
        <v>0</v>
      </c>
      <c r="L114" s="98">
        <v>0.68980989999999998</v>
      </c>
      <c r="M114" s="98">
        <v>0.68980989999999998</v>
      </c>
      <c r="N114" s="99">
        <v>0</v>
      </c>
      <c r="O114" s="97">
        <v>110</v>
      </c>
      <c r="P114" s="98">
        <v>0.69067271341842396</v>
      </c>
      <c r="Q114" s="98">
        <v>0.69047771687135295</v>
      </c>
      <c r="R114" s="98">
        <v>2.8068975473848402E-3</v>
      </c>
    </row>
    <row r="115" spans="1:18" ht="15">
      <c r="A115" s="97">
        <v>111</v>
      </c>
      <c r="B115" s="98">
        <v>0.7328886</v>
      </c>
      <c r="C115" s="98">
        <v>0.7328886</v>
      </c>
      <c r="D115" s="98">
        <v>1.38327303109722E-3</v>
      </c>
      <c r="E115" s="98">
        <v>0.71713930000000004</v>
      </c>
      <c r="F115" s="98">
        <v>0.71713930000000004</v>
      </c>
      <c r="G115" s="99">
        <v>2.6014597296985199E-3</v>
      </c>
      <c r="H115" s="97">
        <v>111</v>
      </c>
      <c r="I115" s="98">
        <v>0.7328886</v>
      </c>
      <c r="J115" s="98">
        <v>0.7328886</v>
      </c>
      <c r="K115" s="98">
        <v>0</v>
      </c>
      <c r="L115" s="98">
        <v>0.71713930000000004</v>
      </c>
      <c r="M115" s="98">
        <v>0.71713930000000004</v>
      </c>
      <c r="N115" s="99">
        <v>0</v>
      </c>
      <c r="O115" s="97">
        <v>111</v>
      </c>
      <c r="P115" s="98">
        <v>0.71813445496016703</v>
      </c>
      <c r="Q115" s="98">
        <v>0.71797407925929402</v>
      </c>
      <c r="R115" s="98">
        <v>2.5267684267573499E-3</v>
      </c>
    </row>
    <row r="116" spans="1:18" ht="15">
      <c r="A116" s="97">
        <v>112</v>
      </c>
      <c r="B116" s="98">
        <v>0.75908209999999998</v>
      </c>
      <c r="C116" s="98">
        <v>0.75908209999999998</v>
      </c>
      <c r="D116" s="98">
        <v>1.2040527199225E-3</v>
      </c>
      <c r="E116" s="98">
        <v>0.74446800000000002</v>
      </c>
      <c r="F116" s="98">
        <v>0.74446800000000002</v>
      </c>
      <c r="G116" s="99">
        <v>2.32505945726949E-3</v>
      </c>
      <c r="H116" s="97">
        <v>112</v>
      </c>
      <c r="I116" s="98">
        <v>0.75908209999999998</v>
      </c>
      <c r="J116" s="98">
        <v>0.75908209999999998</v>
      </c>
      <c r="K116" s="98">
        <v>0</v>
      </c>
      <c r="L116" s="98">
        <v>0.74446800000000002</v>
      </c>
      <c r="M116" s="98">
        <v>0.74446800000000002</v>
      </c>
      <c r="N116" s="99">
        <v>0</v>
      </c>
      <c r="O116" s="97">
        <v>112</v>
      </c>
      <c r="P116" s="98">
        <v>0.74553695040618095</v>
      </c>
      <c r="Q116" s="98">
        <v>0.74540723428080302</v>
      </c>
      <c r="R116" s="98">
        <v>2.2730826417302801E-3</v>
      </c>
    </row>
    <row r="117" spans="1:18" ht="15">
      <c r="A117" s="97">
        <v>113</v>
      </c>
      <c r="B117" s="98">
        <v>0.78755935230122998</v>
      </c>
      <c r="C117" s="98">
        <v>0.78755935230122998</v>
      </c>
      <c r="D117" s="98">
        <v>1.04805264019557E-3</v>
      </c>
      <c r="E117" s="98">
        <v>0.77784456958366899</v>
      </c>
      <c r="F117" s="98">
        <v>0.77784456958366899</v>
      </c>
      <c r="G117" s="99">
        <v>2.0780262012607799E-3</v>
      </c>
      <c r="H117" s="97">
        <v>113</v>
      </c>
      <c r="I117" s="98">
        <v>0.78755935230122998</v>
      </c>
      <c r="J117" s="98">
        <v>0.78755935230122998</v>
      </c>
      <c r="K117" s="98">
        <v>0</v>
      </c>
      <c r="L117" s="98">
        <v>0.77784456958366999</v>
      </c>
      <c r="M117" s="98">
        <v>0.77784456958366999</v>
      </c>
      <c r="N117" s="99">
        <v>0</v>
      </c>
      <c r="O117" s="97">
        <v>113</v>
      </c>
      <c r="P117" s="98">
        <v>0.77874448624008397</v>
      </c>
      <c r="Q117" s="98">
        <v>0.778646445308806</v>
      </c>
      <c r="R117" s="98">
        <v>2.0428433423523699E-3</v>
      </c>
    </row>
    <row r="118" spans="1:18" ht="15">
      <c r="A118" s="97">
        <v>114</v>
      </c>
      <c r="B118" s="98">
        <v>0.81068303601837899</v>
      </c>
      <c r="C118" s="98">
        <v>0.81068303601837899</v>
      </c>
      <c r="D118" s="98">
        <v>9.1226432069485899E-4</v>
      </c>
      <c r="E118" s="98">
        <v>0.80308111521459502</v>
      </c>
      <c r="F118" s="98">
        <v>0.80308111521459502</v>
      </c>
      <c r="G118" s="99">
        <v>1.85723977063258E-3</v>
      </c>
      <c r="H118" s="97">
        <v>114</v>
      </c>
      <c r="I118" s="98">
        <v>0.81068303601837899</v>
      </c>
      <c r="J118" s="98">
        <v>0.81068303601837899</v>
      </c>
      <c r="K118" s="98">
        <v>0</v>
      </c>
      <c r="L118" s="98">
        <v>0.80308111521459502</v>
      </c>
      <c r="M118" s="98">
        <v>0.80308111521459502</v>
      </c>
      <c r="N118" s="99">
        <v>0</v>
      </c>
      <c r="O118" s="97">
        <v>114</v>
      </c>
      <c r="P118" s="98">
        <v>0.80394197151112801</v>
      </c>
      <c r="Q118" s="98">
        <v>0.80386661810026805</v>
      </c>
      <c r="R118" s="98">
        <v>1.8344610605180399E-3</v>
      </c>
    </row>
    <row r="119" spans="1:18" ht="15">
      <c r="A119" s="97">
        <v>115</v>
      </c>
      <c r="B119" s="98">
        <v>0.83254324175753203</v>
      </c>
      <c r="C119" s="98">
        <v>0.83254324175753203</v>
      </c>
      <c r="D119" s="98">
        <v>7.94069075249464E-4</v>
      </c>
      <c r="E119" s="98">
        <v>0.82692633801073701</v>
      </c>
      <c r="F119" s="98">
        <v>0.82692633801073701</v>
      </c>
      <c r="G119" s="99">
        <v>1.65991148885735E-3</v>
      </c>
      <c r="H119" s="97">
        <v>115</v>
      </c>
      <c r="I119" s="98">
        <v>0.83254324175753203</v>
      </c>
      <c r="J119" s="98">
        <v>0.83254324175753203</v>
      </c>
      <c r="K119" s="98">
        <v>0</v>
      </c>
      <c r="L119" s="98">
        <v>0.82692633801073601</v>
      </c>
      <c r="M119" s="98">
        <v>0.82692633801073601</v>
      </c>
      <c r="N119" s="99">
        <v>0</v>
      </c>
      <c r="O119" s="97">
        <v>115</v>
      </c>
      <c r="P119" s="98">
        <v>0.82772259041352003</v>
      </c>
      <c r="Q119" s="98">
        <v>0.827665624084159</v>
      </c>
      <c r="R119" s="98">
        <v>1.6459114307680301E-3</v>
      </c>
    </row>
    <row r="120" spans="1:18" ht="15">
      <c r="A120" s="97">
        <v>116</v>
      </c>
      <c r="B120" s="98">
        <v>0.85304029797845005</v>
      </c>
      <c r="C120" s="98">
        <v>0.85304029797845005</v>
      </c>
      <c r="D120" s="98">
        <v>6.9118750121375096E-4</v>
      </c>
      <c r="E120" s="98">
        <v>0.84924783512357205</v>
      </c>
      <c r="F120" s="98">
        <v>0.84924783512357205</v>
      </c>
      <c r="G120" s="99">
        <v>1.4835489711175799E-3</v>
      </c>
      <c r="H120" s="97">
        <v>116</v>
      </c>
      <c r="I120" s="98">
        <v>0.85304029797845005</v>
      </c>
      <c r="J120" s="98">
        <v>0.85304029797845005</v>
      </c>
      <c r="K120" s="98">
        <v>0</v>
      </c>
      <c r="L120" s="98">
        <v>0.84924783512357205</v>
      </c>
      <c r="M120" s="98">
        <v>0.84924783512357205</v>
      </c>
      <c r="N120" s="99">
        <v>0</v>
      </c>
      <c r="O120" s="97">
        <v>116</v>
      </c>
      <c r="P120" s="98">
        <v>0.84996260071957896</v>
      </c>
      <c r="Q120" s="98">
        <v>0.84992022929371902</v>
      </c>
      <c r="R120" s="98">
        <v>1.4755604535049401E-3</v>
      </c>
    </row>
    <row r="121" spans="1:18" ht="15">
      <c r="A121" s="97">
        <v>117</v>
      </c>
      <c r="B121" s="98">
        <v>0.87209448203587403</v>
      </c>
      <c r="C121" s="98">
        <v>0.87209448203587403</v>
      </c>
      <c r="D121" s="98">
        <v>6.0163552104585197E-4</v>
      </c>
      <c r="E121" s="98">
        <v>0.869938324615254</v>
      </c>
      <c r="F121" s="98">
        <v>0.869938324615254</v>
      </c>
      <c r="G121" s="99">
        <v>1.32592464386105E-3</v>
      </c>
      <c r="H121" s="97">
        <v>117</v>
      </c>
      <c r="I121" s="98">
        <v>0.87209448203587403</v>
      </c>
      <c r="J121" s="98">
        <v>0.87209448203587403</v>
      </c>
      <c r="K121" s="98">
        <v>0</v>
      </c>
      <c r="L121" s="98">
        <v>0.869938324615254</v>
      </c>
      <c r="M121" s="98">
        <v>0.869938324615254</v>
      </c>
      <c r="N121" s="99">
        <v>0</v>
      </c>
      <c r="O121" s="97">
        <v>117</v>
      </c>
      <c r="P121" s="98">
        <v>0.87056280823481202</v>
      </c>
      <c r="Q121" s="98">
        <v>0.87053179446913997</v>
      </c>
      <c r="R121" s="98">
        <v>1.3218982650607101E-3</v>
      </c>
    </row>
    <row r="122" spans="1:18" ht="15">
      <c r="A122" s="97">
        <v>118</v>
      </c>
      <c r="B122" s="98">
        <v>0.88964799405876405</v>
      </c>
      <c r="C122" s="98">
        <v>0.88964799405876405</v>
      </c>
      <c r="D122" s="98">
        <v>5.2368611924910298E-4</v>
      </c>
      <c r="E122" s="98">
        <v>0.88891879479257296</v>
      </c>
      <c r="F122" s="98">
        <v>0.88891879479257296</v>
      </c>
      <c r="G122" s="99">
        <v>1.1850476090948701E-3</v>
      </c>
      <c r="H122" s="97">
        <v>118</v>
      </c>
      <c r="I122" s="98">
        <v>0.88964799405876405</v>
      </c>
      <c r="J122" s="98">
        <v>0.88964799405876405</v>
      </c>
      <c r="K122" s="98">
        <v>0</v>
      </c>
      <c r="L122" s="98">
        <v>0.88891879479257296</v>
      </c>
      <c r="M122" s="98">
        <v>0.88891879479257296</v>
      </c>
      <c r="N122" s="99">
        <v>0</v>
      </c>
      <c r="O122" s="97">
        <v>118</v>
      </c>
      <c r="P122" s="98">
        <v>0.88945101228805801</v>
      </c>
      <c r="Q122" s="98">
        <v>0.889428671618821</v>
      </c>
      <c r="R122" s="98">
        <v>1.1835113832223199E-3</v>
      </c>
    </row>
    <row r="123" spans="1:18" ht="15">
      <c r="A123" s="97">
        <v>119</v>
      </c>
      <c r="B123" s="98">
        <v>0.90566631408898601</v>
      </c>
      <c r="C123" s="98">
        <v>0.90566631408898601</v>
      </c>
      <c r="D123" s="98">
        <v>4.55836036770981E-4</v>
      </c>
      <c r="E123" s="98">
        <v>0.90614076678023703</v>
      </c>
      <c r="F123" s="98">
        <v>0.90614076678023703</v>
      </c>
      <c r="G123" s="99">
        <v>1.05913849804622E-3</v>
      </c>
      <c r="H123" s="97">
        <v>119</v>
      </c>
      <c r="I123" s="98">
        <v>0.90566631408898601</v>
      </c>
      <c r="J123" s="98">
        <v>0.90566631408898601</v>
      </c>
      <c r="K123" s="98">
        <v>0</v>
      </c>
      <c r="L123" s="98">
        <v>0.90614076678023703</v>
      </c>
      <c r="M123" s="98">
        <v>0.90614076678023703</v>
      </c>
      <c r="N123" s="99">
        <v>0</v>
      </c>
      <c r="O123" s="97">
        <v>119</v>
      </c>
      <c r="P123" s="98">
        <v>0.90658394038260104</v>
      </c>
      <c r="Q123" s="98">
        <v>0.90656810412518896</v>
      </c>
      <c r="R123" s="98">
        <v>1.05906882192727E-3</v>
      </c>
    </row>
    <row r="124" spans="1:18" ht="15">
      <c r="A124" s="97">
        <v>120</v>
      </c>
      <c r="B124" s="100">
        <v>0.92013885076007496</v>
      </c>
      <c r="C124" s="100">
        <v>0.92013885076007496</v>
      </c>
      <c r="D124" s="100">
        <v>3.96776780558961E-4</v>
      </c>
      <c r="E124" s="100">
        <v>0.92158750083644103</v>
      </c>
      <c r="F124" s="100">
        <v>0.92158750083644103</v>
      </c>
      <c r="G124" s="101">
        <v>9.4660699657494096E-4</v>
      </c>
      <c r="H124" s="97">
        <v>120</v>
      </c>
      <c r="I124" s="100">
        <v>0.92013885076007496</v>
      </c>
      <c r="J124" s="100">
        <v>0.92013885076007496</v>
      </c>
      <c r="K124" s="100">
        <v>0</v>
      </c>
      <c r="L124" s="100">
        <v>0.92158750083644103</v>
      </c>
      <c r="M124" s="100">
        <v>0.92158750083644103</v>
      </c>
      <c r="N124" s="101">
        <v>0</v>
      </c>
      <c r="O124" s="97">
        <v>120</v>
      </c>
      <c r="P124" s="98">
        <v>0.92194842657631204</v>
      </c>
      <c r="Q124" s="98">
        <v>0.92193738410511195</v>
      </c>
      <c r="R124" s="98">
        <v>9.4731703653932E-4</v>
      </c>
    </row>
    <row r="125" spans="1:18" ht="15">
      <c r="A125" s="97">
        <v>121</v>
      </c>
      <c r="B125" s="100">
        <v>1</v>
      </c>
      <c r="C125" s="100">
        <v>1</v>
      </c>
      <c r="D125" s="100">
        <v>0</v>
      </c>
      <c r="E125" s="100">
        <v>1</v>
      </c>
      <c r="F125" s="100">
        <v>1</v>
      </c>
      <c r="G125" s="101">
        <v>0</v>
      </c>
      <c r="H125" s="97">
        <v>121</v>
      </c>
      <c r="I125" s="100">
        <v>1</v>
      </c>
      <c r="J125" s="100">
        <v>1</v>
      </c>
      <c r="K125" s="100">
        <v>0</v>
      </c>
      <c r="L125" s="100">
        <v>1</v>
      </c>
      <c r="M125" s="100">
        <v>1</v>
      </c>
      <c r="N125" s="101">
        <v>0</v>
      </c>
      <c r="O125" s="97">
        <v>121</v>
      </c>
      <c r="P125" s="98">
        <v>1</v>
      </c>
      <c r="Q125" s="98">
        <v>1</v>
      </c>
      <c r="R125" s="98">
        <v>0</v>
      </c>
    </row>
  </sheetData>
  <mergeCells count="3">
    <mergeCell ref="A1:G1"/>
    <mergeCell ref="H1:N1"/>
    <mergeCell ref="O1:R1"/>
  </mergeCells>
  <printOptions horizontalCentered="1"/>
  <pageMargins left="0.78749999999999998" right="0.78749999999999998" top="0.78749999999999998" bottom="0.78749999999999998" header="0.51180555555555496" footer="0.51180555555555496"/>
  <pageSetup paperSize="0" scale="0" orientation="portrait" usePrinterDefaults="0" useFirstPageNumber="1" horizontalDpi="0" verticalDpi="0" copies="0"/>
  <colBreaks count="2" manualBreakCount="2">
    <brk id="7" max="1048575" man="1"/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25"/>
  <sheetViews>
    <sheetView topLeftCell="P1" zoomScaleNormal="100" workbookViewId="0">
      <selection activeCell="B5" sqref="B5"/>
    </sheetView>
  </sheetViews>
  <sheetFormatPr baseColWidth="10" defaultColWidth="9.140625" defaultRowHeight="12.75"/>
  <cols>
    <col min="1" max="1" width="8" style="95"/>
    <col min="2" max="7" width="17.7109375" style="95"/>
    <col min="8" max="8" width="8" style="95"/>
    <col min="9" max="14" width="17.7109375" style="95"/>
    <col min="15" max="15" width="8" style="95"/>
    <col min="16" max="18" width="17.7109375" style="95"/>
    <col min="19" max="19" width="10.140625" style="13"/>
    <col min="20" max="20" width="7.42578125" style="13"/>
    <col min="21" max="21" width="8.5703125" style="13"/>
    <col min="22" max="24" width="11.28515625" style="13"/>
    <col min="25" max="25" width="6.85546875" style="33"/>
    <col min="26" max="28" width="10.85546875" style="35"/>
    <col min="29" max="1025" width="11.42578125"/>
  </cols>
  <sheetData>
    <row r="1" spans="1:28" ht="24.2" customHeight="1">
      <c r="A1" s="5" t="s">
        <v>41</v>
      </c>
      <c r="B1" s="5"/>
      <c r="C1" s="5"/>
      <c r="D1" s="5"/>
      <c r="E1" s="5"/>
      <c r="F1" s="5"/>
      <c r="G1" s="5"/>
      <c r="H1" s="5" t="s">
        <v>42</v>
      </c>
      <c r="I1" s="5"/>
      <c r="J1" s="5"/>
      <c r="K1" s="5"/>
      <c r="L1" s="5"/>
      <c r="M1" s="5"/>
      <c r="N1" s="5"/>
      <c r="O1" s="4" t="s">
        <v>43</v>
      </c>
      <c r="P1" s="4"/>
      <c r="Q1" s="4"/>
      <c r="R1" s="4"/>
      <c r="S1" s="102">
        <f>L4*S2</f>
        <v>1.3663525668E-5</v>
      </c>
      <c r="T1"/>
      <c r="U1" s="103" t="s">
        <v>59</v>
      </c>
      <c r="V1" s="104">
        <v>1935</v>
      </c>
      <c r="W1"/>
      <c r="X1" s="3" t="s">
        <v>60</v>
      </c>
      <c r="Y1" s="3" t="s">
        <v>60</v>
      </c>
      <c r="Z1" s="58">
        <v>0.04</v>
      </c>
      <c r="AA1" s="58"/>
      <c r="AB1" s="105">
        <f>1/(1+Z1)</f>
        <v>0.96153846153846145</v>
      </c>
    </row>
    <row r="2" spans="1:28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 s="106">
        <f>B4</f>
        <v>4.2744000000000002E-3</v>
      </c>
      <c r="T2"/>
      <c r="U2" s="60" t="s">
        <v>61</v>
      </c>
      <c r="V2" s="7" t="s">
        <v>62</v>
      </c>
      <c r="W2" s="7"/>
      <c r="X2" s="7"/>
      <c r="Y2" s="35"/>
      <c r="Z2" s="7" t="s">
        <v>63</v>
      </c>
      <c r="AA2" s="7"/>
      <c r="AB2" s="7"/>
    </row>
    <row r="3" spans="1:28" ht="15.75">
      <c r="A3" s="96" t="s">
        <v>1</v>
      </c>
      <c r="B3" s="96" t="s">
        <v>44</v>
      </c>
      <c r="C3" s="96" t="s">
        <v>45</v>
      </c>
      <c r="D3" s="96" t="s">
        <v>46</v>
      </c>
      <c r="E3" s="96" t="s">
        <v>47</v>
      </c>
      <c r="F3" s="96" t="s">
        <v>48</v>
      </c>
      <c r="G3" s="96" t="s">
        <v>49</v>
      </c>
      <c r="H3" s="96"/>
      <c r="I3" s="96" t="s">
        <v>50</v>
      </c>
      <c r="J3" s="96" t="s">
        <v>51</v>
      </c>
      <c r="K3" s="96" t="s">
        <v>52</v>
      </c>
      <c r="L3" s="96" t="s">
        <v>53</v>
      </c>
      <c r="M3" s="96" t="s">
        <v>54</v>
      </c>
      <c r="N3" s="96" t="s">
        <v>55</v>
      </c>
      <c r="O3" s="96"/>
      <c r="P3" s="96" t="s">
        <v>56</v>
      </c>
      <c r="Q3" s="96" t="s">
        <v>57</v>
      </c>
      <c r="R3" s="96" t="s">
        <v>58</v>
      </c>
      <c r="S3" s="16" t="s">
        <v>64</v>
      </c>
      <c r="T3" s="16" t="s">
        <v>65</v>
      </c>
      <c r="U3" s="16" t="s">
        <v>66</v>
      </c>
      <c r="V3" s="16" t="s">
        <v>2</v>
      </c>
      <c r="W3" s="16" t="s">
        <v>67</v>
      </c>
      <c r="X3" s="16" t="s">
        <v>68</v>
      </c>
      <c r="Y3" s="61" t="s">
        <v>64</v>
      </c>
      <c r="Z3" s="16" t="s">
        <v>69</v>
      </c>
      <c r="AA3" s="16" t="s">
        <v>70</v>
      </c>
      <c r="AB3" s="16" t="s">
        <v>71</v>
      </c>
    </row>
    <row r="4" spans="1:28" ht="15">
      <c r="A4" s="97">
        <v>0</v>
      </c>
      <c r="B4" s="98">
        <v>4.2744000000000002E-3</v>
      </c>
      <c r="C4" s="98">
        <v>4.2744000000000002E-3</v>
      </c>
      <c r="D4" s="98">
        <v>0.05</v>
      </c>
      <c r="E4" s="98">
        <v>3.00856E-3</v>
      </c>
      <c r="F4" s="98">
        <v>3.00856E-3</v>
      </c>
      <c r="G4" s="99">
        <v>0.05</v>
      </c>
      <c r="H4" s="97">
        <v>0</v>
      </c>
      <c r="I4" s="98">
        <v>4.2744000000000002E-3</v>
      </c>
      <c r="J4" s="98">
        <v>4.2744000000000002E-3</v>
      </c>
      <c r="K4" s="98">
        <v>5.8061531466664998E-2</v>
      </c>
      <c r="L4" s="98">
        <v>3.196595E-3</v>
      </c>
      <c r="M4" s="98">
        <v>3.00856E-3</v>
      </c>
      <c r="N4" s="99">
        <v>5.51941064856084E-2</v>
      </c>
      <c r="O4" s="97">
        <v>0</v>
      </c>
      <c r="P4" s="98">
        <v>3.3883120000000001E-3</v>
      </c>
      <c r="Q4" s="98">
        <v>3.3883120000000001E-3</v>
      </c>
      <c r="R4" s="98">
        <v>0.05</v>
      </c>
      <c r="S4" s="17">
        <v>0</v>
      </c>
      <c r="T4" s="17">
        <f t="shared" ref="T4:T35" si="0">$V$1+S4</f>
        <v>1935</v>
      </c>
      <c r="U4" s="107">
        <f t="shared" ref="U4:U35" si="1">100*ATAN((T4-2001)/100)</f>
        <v>-58.337300699385594</v>
      </c>
      <c r="V4" s="18">
        <f t="shared" ref="V4:V35" si="2">B4*EXP(-D4*$U4)</f>
        <v>7.9004813155548206E-2</v>
      </c>
      <c r="W4" s="108">
        <f t="shared" ref="W4:W35" si="3">E4*EXP(-G4*$U4)</f>
        <v>5.560797320495417E-2</v>
      </c>
      <c r="X4" s="19">
        <f t="shared" ref="X4:X35" si="4">P4*EXP(-R4*$U4)</f>
        <v>6.2627025190132385E-2</v>
      </c>
      <c r="Y4" s="41">
        <v>0</v>
      </c>
      <c r="Z4" s="109">
        <f t="shared" ref="Z4:Z35" si="5">1+(1-V4)*$AB$1*Z5</f>
        <v>22.024580126638767</v>
      </c>
      <c r="AA4" s="110">
        <f t="shared" ref="AA4:AA35" si="6">1+(1-W4)*$AB$1*AA5</f>
        <v>23.199864116814471</v>
      </c>
      <c r="AB4" s="111">
        <f t="shared" ref="AB4:AB35" si="7">1+(1-X4)*$AB$1*AB5</f>
        <v>22.840302120139643</v>
      </c>
    </row>
    <row r="5" spans="1:28" ht="15">
      <c r="A5" s="97">
        <v>1</v>
      </c>
      <c r="B5" s="98">
        <v>2.7616000000000001E-4</v>
      </c>
      <c r="C5" s="98">
        <v>2.7616000000000001E-4</v>
      </c>
      <c r="D5" s="98">
        <v>0.05</v>
      </c>
      <c r="E5" s="98">
        <v>2.6128000000000002E-4</v>
      </c>
      <c r="F5" s="98">
        <v>2.6128000000000002E-4</v>
      </c>
      <c r="G5" s="99">
        <v>0.05</v>
      </c>
      <c r="H5" s="97">
        <v>1</v>
      </c>
      <c r="I5" s="98">
        <v>2.7616000000000001E-4</v>
      </c>
      <c r="J5" s="98">
        <v>2.7616000000000001E-4</v>
      </c>
      <c r="K5" s="98">
        <v>5.4339405696995899E-2</v>
      </c>
      <c r="L5" s="98">
        <v>2.7761000000000002E-4</v>
      </c>
      <c r="M5" s="98">
        <v>2.6128000000000002E-4</v>
      </c>
      <c r="N5" s="99">
        <v>5.4231119735258002E-2</v>
      </c>
      <c r="O5" s="97">
        <v>1</v>
      </c>
      <c r="P5" s="98">
        <v>2.65744E-4</v>
      </c>
      <c r="Q5" s="98">
        <v>2.65744E-4</v>
      </c>
      <c r="R5" s="98">
        <v>0.05</v>
      </c>
      <c r="S5" s="20">
        <v>1</v>
      </c>
      <c r="T5" s="20">
        <f t="shared" si="0"/>
        <v>1936</v>
      </c>
      <c r="U5" s="112">
        <f t="shared" si="1"/>
        <v>-57.637522059118375</v>
      </c>
      <c r="V5" s="21">
        <f t="shared" si="2"/>
        <v>4.9288280013347219E-3</v>
      </c>
      <c r="W5" s="113">
        <f t="shared" si="3"/>
        <v>4.6632538390380075E-3</v>
      </c>
      <c r="X5" s="22">
        <f t="shared" si="4"/>
        <v>4.7429260877270216E-3</v>
      </c>
      <c r="Y5" s="46">
        <v>1</v>
      </c>
      <c r="Z5" s="114">
        <f t="shared" si="5"/>
        <v>23.741235181283553</v>
      </c>
      <c r="AA5" s="115">
        <f t="shared" si="6"/>
        <v>24.44732486766074</v>
      </c>
      <c r="AB5" s="116">
        <f t="shared" si="7"/>
        <v>24.231458357920356</v>
      </c>
    </row>
    <row r="6" spans="1:28" ht="15">
      <c r="A6" s="97">
        <v>2</v>
      </c>
      <c r="B6" s="98">
        <v>2.1112E-4</v>
      </c>
      <c r="C6" s="98">
        <v>2.1112E-4</v>
      </c>
      <c r="D6" s="98">
        <v>0.05</v>
      </c>
      <c r="E6" s="98">
        <v>1.6864000000000001E-4</v>
      </c>
      <c r="F6" s="98">
        <v>1.6864000000000001E-4</v>
      </c>
      <c r="G6" s="99">
        <v>0.05</v>
      </c>
      <c r="H6" s="97">
        <v>2</v>
      </c>
      <c r="I6" s="98">
        <v>2.1112E-4</v>
      </c>
      <c r="J6" s="98">
        <v>2.1112E-4</v>
      </c>
      <c r="K6" s="98">
        <v>5.1436276566698302E-2</v>
      </c>
      <c r="L6" s="98">
        <v>1.7918E-4</v>
      </c>
      <c r="M6" s="98">
        <v>1.6864000000000001E-4</v>
      </c>
      <c r="N6" s="99">
        <v>5.4070445787183598E-2</v>
      </c>
      <c r="O6" s="97">
        <v>2</v>
      </c>
      <c r="P6" s="98">
        <v>1.8138400000000001E-4</v>
      </c>
      <c r="Q6" s="98">
        <v>1.8138400000000001E-4</v>
      </c>
      <c r="R6" s="98">
        <v>0.05</v>
      </c>
      <c r="S6" s="20">
        <v>2</v>
      </c>
      <c r="T6" s="20">
        <f t="shared" si="0"/>
        <v>1937</v>
      </c>
      <c r="U6" s="112">
        <f t="shared" si="1"/>
        <v>-56.931319110066191</v>
      </c>
      <c r="V6" s="21">
        <f t="shared" si="2"/>
        <v>3.6372844343829486E-3</v>
      </c>
      <c r="W6" s="113">
        <f t="shared" si="3"/>
        <v>2.9054170472448868E-3</v>
      </c>
      <c r="X6" s="22">
        <f t="shared" si="4"/>
        <v>3.1249772633863051E-3</v>
      </c>
      <c r="Y6" s="46">
        <v>2</v>
      </c>
      <c r="Z6" s="114">
        <f t="shared" si="5"/>
        <v>23.768033135791235</v>
      </c>
      <c r="AA6" s="115">
        <f t="shared" si="6"/>
        <v>24.499465086988447</v>
      </c>
      <c r="AB6" s="116">
        <f t="shared" si="7"/>
        <v>24.275855279544409</v>
      </c>
    </row>
    <row r="7" spans="1:28" ht="15">
      <c r="A7" s="97">
        <v>3</v>
      </c>
      <c r="B7" s="98">
        <v>1.5872E-4</v>
      </c>
      <c r="C7" s="98">
        <v>1.5872E-4</v>
      </c>
      <c r="D7" s="98">
        <v>0.05</v>
      </c>
      <c r="E7" s="98">
        <v>1.0543999999999999E-4</v>
      </c>
      <c r="F7" s="98">
        <v>1.0543999999999999E-4</v>
      </c>
      <c r="G7" s="99">
        <v>0.05</v>
      </c>
      <c r="H7" s="97">
        <v>3</v>
      </c>
      <c r="I7" s="98">
        <v>1.5872E-4</v>
      </c>
      <c r="J7" s="98">
        <v>1.5872E-4</v>
      </c>
      <c r="K7" s="98">
        <v>4.9831391654251302E-2</v>
      </c>
      <c r="L7" s="98">
        <v>1.1203E-4</v>
      </c>
      <c r="M7" s="98">
        <v>1.0543999999999999E-4</v>
      </c>
      <c r="N7" s="99">
        <v>5.3942943159721098E-2</v>
      </c>
      <c r="O7" s="97">
        <v>3</v>
      </c>
      <c r="P7" s="98">
        <v>1.2142399999999999E-4</v>
      </c>
      <c r="Q7" s="98">
        <v>1.2142399999999999E-4</v>
      </c>
      <c r="R7" s="98">
        <v>0.05</v>
      </c>
      <c r="S7" s="20">
        <v>3</v>
      </c>
      <c r="T7" s="20">
        <f t="shared" si="0"/>
        <v>1938</v>
      </c>
      <c r="U7" s="112">
        <f t="shared" si="1"/>
        <v>-56.218674390002917</v>
      </c>
      <c r="V7" s="21">
        <f t="shared" si="2"/>
        <v>2.6387889584605761E-3</v>
      </c>
      <c r="W7" s="113">
        <f t="shared" si="3"/>
        <v>1.7529858101063705E-3</v>
      </c>
      <c r="X7" s="22">
        <f t="shared" si="4"/>
        <v>2.0187267546126321E-3</v>
      </c>
      <c r="Y7" s="46">
        <v>3</v>
      </c>
      <c r="Z7" s="114">
        <f t="shared" si="5"/>
        <v>23.765195235934623</v>
      </c>
      <c r="AA7" s="115">
        <f t="shared" si="6"/>
        <v>24.510657372236462</v>
      </c>
      <c r="AB7" s="116">
        <f t="shared" si="7"/>
        <v>24.282772603002552</v>
      </c>
    </row>
    <row r="8" spans="1:28" ht="15">
      <c r="A8" s="97">
        <v>4</v>
      </c>
      <c r="B8" s="98">
        <v>1.2095999999999999E-4</v>
      </c>
      <c r="C8" s="98">
        <v>1.2095999999999999E-4</v>
      </c>
      <c r="D8" s="98">
        <v>0.05</v>
      </c>
      <c r="E8" s="98">
        <v>7.9759999999999995E-5</v>
      </c>
      <c r="F8" s="98">
        <v>7.9759999999999995E-5</v>
      </c>
      <c r="G8" s="99">
        <v>0.05</v>
      </c>
      <c r="H8" s="97">
        <v>4</v>
      </c>
      <c r="I8" s="98">
        <v>1.2095999999999999E-4</v>
      </c>
      <c r="J8" s="98">
        <v>1.2095999999999999E-4</v>
      </c>
      <c r="K8" s="98">
        <v>4.9902171410383098E-2</v>
      </c>
      <c r="L8" s="98">
        <v>8.4745000000000003E-5</v>
      </c>
      <c r="M8" s="98">
        <v>7.9759999999999995E-5</v>
      </c>
      <c r="N8" s="99">
        <v>5.3716255965820497E-2</v>
      </c>
      <c r="O8" s="97">
        <v>4</v>
      </c>
      <c r="P8" s="98">
        <v>9.2120000000000006E-5</v>
      </c>
      <c r="Q8" s="98">
        <v>9.2120000000000006E-5</v>
      </c>
      <c r="R8" s="98">
        <v>0.05</v>
      </c>
      <c r="S8" s="20">
        <v>4</v>
      </c>
      <c r="T8" s="20">
        <f t="shared" si="0"/>
        <v>1939</v>
      </c>
      <c r="U8" s="112">
        <f t="shared" si="1"/>
        <v>-55.49957273385867</v>
      </c>
      <c r="V8" s="21">
        <f t="shared" si="2"/>
        <v>1.9399908763310127E-3</v>
      </c>
      <c r="W8" s="113">
        <f t="shared" si="3"/>
        <v>1.2792135606494838E-3</v>
      </c>
      <c r="X8" s="22">
        <f t="shared" si="4"/>
        <v>1.4774467553539427E-3</v>
      </c>
      <c r="Y8" s="46">
        <v>4</v>
      </c>
      <c r="Z8" s="114">
        <f t="shared" si="5"/>
        <v>23.738443788732756</v>
      </c>
      <c r="AA8" s="115">
        <f t="shared" si="6"/>
        <v>24.49402133896557</v>
      </c>
      <c r="AB8" s="116">
        <f t="shared" si="7"/>
        <v>24.263064003575554</v>
      </c>
    </row>
    <row r="9" spans="1:28" ht="15">
      <c r="A9" s="97">
        <v>5</v>
      </c>
      <c r="B9" s="98">
        <v>1.036E-4</v>
      </c>
      <c r="C9" s="98">
        <v>1.036E-4</v>
      </c>
      <c r="D9" s="98">
        <v>0.05</v>
      </c>
      <c r="E9" s="98">
        <v>6.8639999999999993E-5</v>
      </c>
      <c r="F9" s="98">
        <v>6.8639999999999993E-5</v>
      </c>
      <c r="G9" s="99">
        <v>0.05</v>
      </c>
      <c r="H9" s="97">
        <v>5</v>
      </c>
      <c r="I9" s="98">
        <v>1.036E-4</v>
      </c>
      <c r="J9" s="98">
        <v>1.036E-4</v>
      </c>
      <c r="K9" s="98">
        <v>5.1335498794986202E-2</v>
      </c>
      <c r="L9" s="98">
        <v>7.2929999999999995E-5</v>
      </c>
      <c r="M9" s="98">
        <v>6.8639999999999993E-5</v>
      </c>
      <c r="N9" s="99">
        <v>5.2836105603253899E-2</v>
      </c>
      <c r="O9" s="97">
        <v>5</v>
      </c>
      <c r="P9" s="98">
        <v>7.9128000000000005E-5</v>
      </c>
      <c r="Q9" s="98">
        <v>7.9128000000000005E-5</v>
      </c>
      <c r="R9" s="98">
        <v>0.05</v>
      </c>
      <c r="S9" s="20">
        <v>5</v>
      </c>
      <c r="T9" s="20">
        <f t="shared" si="0"/>
        <v>1940</v>
      </c>
      <c r="U9" s="112">
        <f t="shared" si="1"/>
        <v>-54.774001371590245</v>
      </c>
      <c r="V9" s="21">
        <f t="shared" si="2"/>
        <v>1.6023673338919522E-3</v>
      </c>
      <c r="W9" s="113">
        <f t="shared" si="3"/>
        <v>1.0616456930342046E-3</v>
      </c>
      <c r="X9" s="22">
        <f t="shared" si="4"/>
        <v>1.2238621852915291E-3</v>
      </c>
      <c r="Y9" s="46">
        <v>5</v>
      </c>
      <c r="Z9" s="114">
        <f t="shared" si="5"/>
        <v>23.693947582416218</v>
      </c>
      <c r="AA9" s="115">
        <f t="shared" si="6"/>
        <v>24.465078252387002</v>
      </c>
      <c r="AB9" s="116">
        <f t="shared" si="7"/>
        <v>24.229384188772503</v>
      </c>
    </row>
    <row r="10" spans="1:28" ht="15">
      <c r="A10" s="97">
        <v>6</v>
      </c>
      <c r="B10" s="98">
        <v>9.8079999999999996E-5</v>
      </c>
      <c r="C10" s="98">
        <v>9.8079999999999996E-5</v>
      </c>
      <c r="D10" s="98">
        <v>0.05</v>
      </c>
      <c r="E10" s="98">
        <v>6.8079999999999999E-5</v>
      </c>
      <c r="F10" s="98">
        <v>6.8079999999999999E-5</v>
      </c>
      <c r="G10" s="99">
        <v>0.05</v>
      </c>
      <c r="H10" s="97">
        <v>6</v>
      </c>
      <c r="I10" s="98">
        <v>9.8079999999999996E-5</v>
      </c>
      <c r="J10" s="98">
        <v>9.8079999999999996E-5</v>
      </c>
      <c r="K10" s="98">
        <v>5.2972292138559203E-2</v>
      </c>
      <c r="L10" s="98">
        <v>7.2335000000000005E-5</v>
      </c>
      <c r="M10" s="98">
        <v>6.8079999999999999E-5</v>
      </c>
      <c r="N10" s="99">
        <v>5.0024387578621397E-2</v>
      </c>
      <c r="O10" s="97">
        <v>6</v>
      </c>
      <c r="P10" s="98">
        <v>7.7080000000000001E-5</v>
      </c>
      <c r="Q10" s="98">
        <v>7.7080000000000001E-5</v>
      </c>
      <c r="R10" s="98">
        <v>0.05</v>
      </c>
      <c r="S10" s="20">
        <v>6</v>
      </c>
      <c r="T10" s="20">
        <f t="shared" si="0"/>
        <v>1941</v>
      </c>
      <c r="U10" s="112">
        <f t="shared" si="1"/>
        <v>-54.041950027058419</v>
      </c>
      <c r="V10" s="21">
        <f t="shared" si="2"/>
        <v>1.4624684022022561E-3</v>
      </c>
      <c r="W10" s="113">
        <f t="shared" si="3"/>
        <v>1.0151391600930833E-3</v>
      </c>
      <c r="X10" s="22">
        <f t="shared" si="4"/>
        <v>1.1493379327258352E-3</v>
      </c>
      <c r="Y10" s="46">
        <v>6</v>
      </c>
      <c r="Z10" s="114">
        <f t="shared" si="5"/>
        <v>23.639584784157773</v>
      </c>
      <c r="AA10" s="115">
        <f t="shared" si="6"/>
        <v>24.429616980131915</v>
      </c>
      <c r="AB10" s="116">
        <f t="shared" si="7"/>
        <v>24.188162533780186</v>
      </c>
    </row>
    <row r="11" spans="1:28" ht="15">
      <c r="A11" s="97">
        <v>7</v>
      </c>
      <c r="B11" s="98">
        <v>9.3599999999999998E-5</v>
      </c>
      <c r="C11" s="98">
        <v>9.3599999999999998E-5</v>
      </c>
      <c r="D11" s="98">
        <v>0.05</v>
      </c>
      <c r="E11" s="98">
        <v>7.2000000000000002E-5</v>
      </c>
      <c r="F11" s="98">
        <v>7.2000000000000002E-5</v>
      </c>
      <c r="G11" s="99">
        <v>4.8881640835953401E-2</v>
      </c>
      <c r="H11" s="97">
        <v>7</v>
      </c>
      <c r="I11" s="98">
        <v>9.3599999999999998E-5</v>
      </c>
      <c r="J11" s="98">
        <v>9.3599999999999998E-5</v>
      </c>
      <c r="K11" s="98">
        <v>5.3572585535099901E-2</v>
      </c>
      <c r="L11" s="98">
        <v>7.6500000000000003E-5</v>
      </c>
      <c r="M11" s="98">
        <v>7.2000000000000002E-5</v>
      </c>
      <c r="N11" s="99">
        <v>4.5881640835953398E-2</v>
      </c>
      <c r="O11" s="97">
        <v>7</v>
      </c>
      <c r="P11" s="98">
        <v>7.8473994246729494E-5</v>
      </c>
      <c r="Q11" s="98">
        <v>7.8473994246729494E-5</v>
      </c>
      <c r="R11" s="98">
        <v>4.9288566918845797E-2</v>
      </c>
      <c r="S11" s="20">
        <v>7</v>
      </c>
      <c r="T11" s="20">
        <f t="shared" si="0"/>
        <v>1942</v>
      </c>
      <c r="U11" s="112">
        <f t="shared" si="1"/>
        <v>-53.303411017748999</v>
      </c>
      <c r="V11" s="21">
        <f t="shared" si="2"/>
        <v>1.3450694607341936E-3</v>
      </c>
      <c r="W11" s="113">
        <f t="shared" si="3"/>
        <v>9.7479219184994548E-4</v>
      </c>
      <c r="X11" s="22">
        <f t="shared" si="4"/>
        <v>1.0857388775871166E-3</v>
      </c>
      <c r="Y11" s="46">
        <v>7</v>
      </c>
      <c r="Z11" s="114">
        <f t="shared" si="5"/>
        <v>23.579652672492507</v>
      </c>
      <c r="AA11" s="115">
        <f t="shared" si="6"/>
        <v>24.39156248959624</v>
      </c>
      <c r="AB11" s="116">
        <f t="shared" si="7"/>
        <v>24.143438004256105</v>
      </c>
    </row>
    <row r="12" spans="1:28" ht="15">
      <c r="A12" s="97">
        <v>8</v>
      </c>
      <c r="B12" s="98">
        <v>8.8480000000000007E-5</v>
      </c>
      <c r="C12" s="98">
        <v>8.8480000000000007E-5</v>
      </c>
      <c r="D12" s="98">
        <v>0.05</v>
      </c>
      <c r="E12" s="98">
        <v>7.4079999999999995E-5</v>
      </c>
      <c r="F12" s="98">
        <v>7.4079999999999995E-5</v>
      </c>
      <c r="G12" s="99">
        <v>4.4497293704924001E-2</v>
      </c>
      <c r="H12" s="97">
        <v>8</v>
      </c>
      <c r="I12" s="98">
        <v>8.8480000000000007E-5</v>
      </c>
      <c r="J12" s="98">
        <v>8.8480000000000007E-5</v>
      </c>
      <c r="K12" s="98">
        <v>5.2521785752795001E-2</v>
      </c>
      <c r="L12" s="98">
        <v>7.8709999999999997E-5</v>
      </c>
      <c r="M12" s="98">
        <v>7.4079999999999995E-5</v>
      </c>
      <c r="N12" s="99">
        <v>4.1497293704923999E-2</v>
      </c>
      <c r="O12" s="97">
        <v>8</v>
      </c>
      <c r="P12" s="98">
        <v>7.8267602706143797E-5</v>
      </c>
      <c r="Q12" s="98">
        <v>7.8267602706143797E-5</v>
      </c>
      <c r="R12" s="98">
        <v>4.65162575956133E-2</v>
      </c>
      <c r="S12" s="20">
        <v>8</v>
      </c>
      <c r="T12" s="20">
        <f t="shared" si="0"/>
        <v>1943</v>
      </c>
      <c r="U12" s="112">
        <f t="shared" si="1"/>
        <v>-52.558379355161023</v>
      </c>
      <c r="V12" s="21">
        <f t="shared" si="2"/>
        <v>1.2249992436279631E-3</v>
      </c>
      <c r="W12" s="113">
        <f t="shared" si="3"/>
        <v>7.6804723346137382E-4</v>
      </c>
      <c r="X12" s="22">
        <f t="shared" si="4"/>
        <v>9.0230524483703579E-4</v>
      </c>
      <c r="Y12" s="46">
        <v>8</v>
      </c>
      <c r="Z12" s="114">
        <f t="shared" si="5"/>
        <v>23.514467371338828</v>
      </c>
      <c r="AA12" s="115">
        <f t="shared" si="6"/>
        <v>24.350962116915696</v>
      </c>
      <c r="AB12" s="116">
        <f t="shared" si="7"/>
        <v>24.095336768324273</v>
      </c>
    </row>
    <row r="13" spans="1:28" ht="15">
      <c r="A13" s="97">
        <v>9</v>
      </c>
      <c r="B13" s="98">
        <v>8.9120000000000001E-5</v>
      </c>
      <c r="C13" s="98">
        <v>8.9120000000000001E-5</v>
      </c>
      <c r="D13" s="98">
        <v>0.05</v>
      </c>
      <c r="E13" s="98">
        <v>7.4720000000000003E-5</v>
      </c>
      <c r="F13" s="98">
        <v>7.4720000000000003E-5</v>
      </c>
      <c r="G13" s="99">
        <v>4.1288355911912898E-2</v>
      </c>
      <c r="H13" s="97">
        <v>9</v>
      </c>
      <c r="I13" s="98">
        <v>8.9120000000000001E-5</v>
      </c>
      <c r="J13" s="98">
        <v>8.9120000000000001E-5</v>
      </c>
      <c r="K13" s="98">
        <v>5.0354400235367199E-2</v>
      </c>
      <c r="L13" s="98">
        <v>7.9389999999999997E-5</v>
      </c>
      <c r="M13" s="98">
        <v>7.4720000000000003E-5</v>
      </c>
      <c r="N13" s="99">
        <v>3.8288355911912902E-2</v>
      </c>
      <c r="O13" s="97">
        <v>9</v>
      </c>
      <c r="P13" s="98">
        <v>7.8731370668686001E-5</v>
      </c>
      <c r="Q13" s="98">
        <v>7.8731370668686001E-5</v>
      </c>
      <c r="R13" s="98">
        <v>4.46126877520273E-2</v>
      </c>
      <c r="S13" s="20">
        <v>9</v>
      </c>
      <c r="T13" s="20">
        <f t="shared" si="0"/>
        <v>1944</v>
      </c>
      <c r="U13" s="112">
        <f t="shared" si="1"/>
        <v>-51.80685284567209</v>
      </c>
      <c r="V13" s="21">
        <f t="shared" si="2"/>
        <v>1.1883563566618197E-3</v>
      </c>
      <c r="W13" s="113">
        <f t="shared" si="3"/>
        <v>6.3445576784027012E-4</v>
      </c>
      <c r="X13" s="22">
        <f t="shared" si="4"/>
        <v>7.9415974898252326E-4</v>
      </c>
      <c r="Y13" s="46">
        <v>9</v>
      </c>
      <c r="Z13" s="114">
        <f t="shared" si="5"/>
        <v>23.443764660168881</v>
      </c>
      <c r="AA13" s="115">
        <f t="shared" si="6"/>
        <v>24.30366696576835</v>
      </c>
      <c r="AB13" s="116">
        <f t="shared" si="7"/>
        <v>24.040842417260642</v>
      </c>
    </row>
    <row r="14" spans="1:28" ht="15">
      <c r="A14" s="97">
        <v>10</v>
      </c>
      <c r="B14" s="98">
        <v>9.1039999999999996E-5</v>
      </c>
      <c r="C14" s="98">
        <v>9.1039999999999996E-5</v>
      </c>
      <c r="D14" s="98">
        <v>0.05</v>
      </c>
      <c r="E14" s="98">
        <v>7.6959999999999995E-5</v>
      </c>
      <c r="F14" s="98">
        <v>7.6959999999999995E-5</v>
      </c>
      <c r="G14" s="99">
        <v>3.9286450972352199E-2</v>
      </c>
      <c r="H14" s="97">
        <v>10</v>
      </c>
      <c r="I14" s="98">
        <v>9.1039999999999996E-5</v>
      </c>
      <c r="J14" s="98">
        <v>9.1039999999999996E-5</v>
      </c>
      <c r="K14" s="98">
        <v>4.85671342813596E-2</v>
      </c>
      <c r="L14" s="98">
        <v>8.1769999999999998E-5</v>
      </c>
      <c r="M14" s="98">
        <v>7.6959999999999995E-5</v>
      </c>
      <c r="N14" s="99">
        <v>3.6286450972352197E-2</v>
      </c>
      <c r="O14" s="97">
        <v>10</v>
      </c>
      <c r="P14" s="98">
        <v>8.0747110106414306E-5</v>
      </c>
      <c r="Q14" s="98">
        <v>8.0747110106414306E-5</v>
      </c>
      <c r="R14" s="98">
        <v>4.3437682379431498E-2</v>
      </c>
      <c r="S14" s="20">
        <v>10</v>
      </c>
      <c r="T14" s="20">
        <f t="shared" si="0"/>
        <v>1945</v>
      </c>
      <c r="U14" s="112">
        <f t="shared" si="1"/>
        <v>-51.048832191677583</v>
      </c>
      <c r="V14" s="21">
        <f t="shared" si="2"/>
        <v>1.1688090226161247E-3</v>
      </c>
      <c r="W14" s="113">
        <f t="shared" si="3"/>
        <v>5.7181370596062319E-4</v>
      </c>
      <c r="X14" s="22">
        <f t="shared" si="4"/>
        <v>7.415667159871587E-4</v>
      </c>
      <c r="Y14" s="46">
        <v>10</v>
      </c>
      <c r="Z14" s="114">
        <f t="shared" si="5"/>
        <v>23.369286286484833</v>
      </c>
      <c r="AA14" s="115">
        <f t="shared" si="6"/>
        <v>24.251199958089543</v>
      </c>
      <c r="AB14" s="116">
        <f t="shared" si="7"/>
        <v>23.981521272865347</v>
      </c>
    </row>
    <row r="15" spans="1:28" ht="15">
      <c r="A15" s="97">
        <v>11</v>
      </c>
      <c r="B15" s="98">
        <v>9.0400000000000002E-5</v>
      </c>
      <c r="C15" s="98">
        <v>9.0400000000000002E-5</v>
      </c>
      <c r="D15" s="98">
        <v>0.05</v>
      </c>
      <c r="E15" s="98">
        <v>8.1199999999999995E-5</v>
      </c>
      <c r="F15" s="98">
        <v>8.1199999999999995E-5</v>
      </c>
      <c r="G15" s="99">
        <v>3.7361290807443201E-2</v>
      </c>
      <c r="H15" s="97">
        <v>11</v>
      </c>
      <c r="I15" s="98">
        <v>9.0400000000000002E-5</v>
      </c>
      <c r="J15" s="98">
        <v>9.0400000000000002E-5</v>
      </c>
      <c r="K15" s="98">
        <v>4.7167457793015899E-2</v>
      </c>
      <c r="L15" s="98">
        <v>8.6274999999999996E-5</v>
      </c>
      <c r="M15" s="98">
        <v>8.1199999999999995E-5</v>
      </c>
      <c r="N15" s="99">
        <v>3.4361290807443198E-2</v>
      </c>
      <c r="O15" s="97">
        <v>11</v>
      </c>
      <c r="P15" s="98">
        <v>8.3398572008516403E-5</v>
      </c>
      <c r="Q15" s="98">
        <v>8.3398572008516403E-5</v>
      </c>
      <c r="R15" s="98">
        <v>4.2159912026332E-2</v>
      </c>
      <c r="S15" s="20">
        <v>11</v>
      </c>
      <c r="T15" s="20">
        <f t="shared" si="0"/>
        <v>1946</v>
      </c>
      <c r="U15" s="112">
        <f t="shared" si="1"/>
        <v>-50.284321092786087</v>
      </c>
      <c r="V15" s="21">
        <f t="shared" si="2"/>
        <v>1.117065372068383E-3</v>
      </c>
      <c r="W15" s="113">
        <f t="shared" si="3"/>
        <v>5.3144642366733991E-4</v>
      </c>
      <c r="X15" s="22">
        <f t="shared" si="4"/>
        <v>6.9479284792320079E-4</v>
      </c>
      <c r="Y15" s="46">
        <v>11</v>
      </c>
      <c r="Z15" s="114">
        <f t="shared" si="5"/>
        <v>23.291280797088152</v>
      </c>
      <c r="AA15" s="115">
        <f t="shared" si="6"/>
        <v>24.195083036510258</v>
      </c>
      <c r="AB15" s="116">
        <f t="shared" si="7"/>
        <v>23.918519301589718</v>
      </c>
    </row>
    <row r="16" spans="1:28" ht="15">
      <c r="A16" s="97">
        <v>12</v>
      </c>
      <c r="B16" s="98">
        <v>9.2E-5</v>
      </c>
      <c r="C16" s="98">
        <v>9.2E-5</v>
      </c>
      <c r="D16" s="98">
        <v>4.8544846351029097E-2</v>
      </c>
      <c r="E16" s="98">
        <v>8.776E-5</v>
      </c>
      <c r="F16" s="98">
        <v>8.776E-5</v>
      </c>
      <c r="G16" s="99">
        <v>3.5613378892136303E-2</v>
      </c>
      <c r="H16" s="97">
        <v>12</v>
      </c>
      <c r="I16" s="98">
        <v>9.2E-5</v>
      </c>
      <c r="J16" s="98">
        <v>9.2E-5</v>
      </c>
      <c r="K16" s="98">
        <v>4.5544846351029102E-2</v>
      </c>
      <c r="L16" s="98">
        <v>9.3245000000000006E-5</v>
      </c>
      <c r="M16" s="98">
        <v>8.776E-5</v>
      </c>
      <c r="N16" s="99">
        <v>3.2613378892136301E-2</v>
      </c>
      <c r="O16" s="97">
        <v>12</v>
      </c>
      <c r="P16" s="98">
        <v>8.8482526287560201E-5</v>
      </c>
      <c r="Q16" s="98">
        <v>8.8482526287560201E-5</v>
      </c>
      <c r="R16" s="98">
        <v>4.0321446833661803E-2</v>
      </c>
      <c r="S16" s="20">
        <v>12</v>
      </c>
      <c r="T16" s="20">
        <f t="shared" si="0"/>
        <v>1947</v>
      </c>
      <c r="U16" s="112">
        <f t="shared" si="1"/>
        <v>-49.513326346840415</v>
      </c>
      <c r="V16" s="21">
        <f t="shared" si="2"/>
        <v>1.0178068017053584E-3</v>
      </c>
      <c r="W16" s="113">
        <f t="shared" si="3"/>
        <v>5.1180447501518586E-4</v>
      </c>
      <c r="X16" s="22">
        <f t="shared" si="4"/>
        <v>6.5148478682390944E-4</v>
      </c>
      <c r="Y16" s="46">
        <v>12</v>
      </c>
      <c r="Z16" s="114">
        <f t="shared" si="5"/>
        <v>23.20885784039044</v>
      </c>
      <c r="AA16" s="115">
        <f t="shared" si="6"/>
        <v>24.135713196431574</v>
      </c>
      <c r="AB16" s="116">
        <f t="shared" si="7"/>
        <v>23.851832156045191</v>
      </c>
    </row>
    <row r="17" spans="1:28" ht="15">
      <c r="A17" s="97">
        <v>13</v>
      </c>
      <c r="B17" s="98">
        <v>1.1424E-4</v>
      </c>
      <c r="C17" s="98">
        <v>1.1424E-4</v>
      </c>
      <c r="D17" s="98">
        <v>4.71081810575084E-2</v>
      </c>
      <c r="E17" s="98">
        <v>1.0344E-4</v>
      </c>
      <c r="F17" s="98">
        <v>1.0344E-4</v>
      </c>
      <c r="G17" s="99">
        <v>3.44611144124694E-2</v>
      </c>
      <c r="H17" s="97">
        <v>13</v>
      </c>
      <c r="I17" s="98">
        <v>1.1424E-4</v>
      </c>
      <c r="J17" s="98">
        <v>1.1424E-4</v>
      </c>
      <c r="K17" s="98">
        <v>4.4108181057508397E-2</v>
      </c>
      <c r="L17" s="98">
        <v>1.09905E-4</v>
      </c>
      <c r="M17" s="98">
        <v>1.0344E-4</v>
      </c>
      <c r="N17" s="99">
        <v>3.1461114412469397E-2</v>
      </c>
      <c r="O17" s="97">
        <v>13</v>
      </c>
      <c r="P17" s="98">
        <v>1.06111140763526E-4</v>
      </c>
      <c r="Q17" s="98">
        <v>1.06111140763526E-4</v>
      </c>
      <c r="R17" s="98">
        <v>3.9167361085112699E-2</v>
      </c>
      <c r="S17" s="20">
        <v>13</v>
      </c>
      <c r="T17" s="20">
        <f t="shared" si="0"/>
        <v>1948</v>
      </c>
      <c r="U17" s="112">
        <f t="shared" si="1"/>
        <v>-48.735857950519026</v>
      </c>
      <c r="V17" s="21">
        <f t="shared" si="2"/>
        <v>1.1347403292259765E-3</v>
      </c>
      <c r="W17" s="113">
        <f t="shared" si="3"/>
        <v>5.5473122173830365E-4</v>
      </c>
      <c r="X17" s="22">
        <f t="shared" si="4"/>
        <v>7.1575790532620888E-4</v>
      </c>
      <c r="Y17" s="46">
        <v>13</v>
      </c>
      <c r="Z17" s="114">
        <f t="shared" si="5"/>
        <v>23.120744605125648</v>
      </c>
      <c r="AA17" s="115">
        <f t="shared" si="6"/>
        <v>24.073462630192083</v>
      </c>
      <c r="AB17" s="116">
        <f t="shared" si="7"/>
        <v>23.781398661724506</v>
      </c>
    </row>
    <row r="18" spans="1:28" ht="15">
      <c r="A18" s="97">
        <v>14</v>
      </c>
      <c r="B18" s="98">
        <v>1.7736E-4</v>
      </c>
      <c r="C18" s="98">
        <v>1.7736E-4</v>
      </c>
      <c r="D18" s="98">
        <v>4.5472100620670697E-2</v>
      </c>
      <c r="E18" s="98">
        <v>1.3352000000000001E-4</v>
      </c>
      <c r="F18" s="98">
        <v>1.3352000000000001E-4</v>
      </c>
      <c r="G18" s="99">
        <v>3.37711569484547E-2</v>
      </c>
      <c r="H18" s="97">
        <v>14</v>
      </c>
      <c r="I18" s="98">
        <v>1.7736E-4</v>
      </c>
      <c r="J18" s="98">
        <v>1.7736E-4</v>
      </c>
      <c r="K18" s="98">
        <v>4.2472100620670701E-2</v>
      </c>
      <c r="L18" s="98">
        <v>1.41865E-4</v>
      </c>
      <c r="M18" s="98">
        <v>1.3352000000000001E-4</v>
      </c>
      <c r="N18" s="99">
        <v>3.0771156948454701E-2</v>
      </c>
      <c r="O18" s="97">
        <v>14</v>
      </c>
      <c r="P18" s="98">
        <v>1.4605389474101001E-4</v>
      </c>
      <c r="Q18" s="98">
        <v>1.4605389474101001E-4</v>
      </c>
      <c r="R18" s="98">
        <v>3.8560787686914802E-2</v>
      </c>
      <c r="S18" s="20">
        <v>14</v>
      </c>
      <c r="T18" s="20">
        <f t="shared" si="0"/>
        <v>1949</v>
      </c>
      <c r="U18" s="112">
        <f t="shared" si="1"/>
        <v>-47.951929199259617</v>
      </c>
      <c r="V18" s="21">
        <f t="shared" si="2"/>
        <v>1.5697262417276095E-3</v>
      </c>
      <c r="W18" s="113">
        <f t="shared" si="3"/>
        <v>6.7427861867872744E-4</v>
      </c>
      <c r="X18" s="22">
        <f t="shared" si="4"/>
        <v>9.2800753900824592E-4</v>
      </c>
      <c r="Y18" s="46">
        <v>14</v>
      </c>
      <c r="Z18" s="114">
        <f t="shared" si="5"/>
        <v>23.031709398836547</v>
      </c>
      <c r="AA18" s="115">
        <f t="shared" si="6"/>
        <v>24.009720076751542</v>
      </c>
      <c r="AB18" s="116">
        <f t="shared" si="7"/>
        <v>23.709624959690704</v>
      </c>
    </row>
    <row r="19" spans="1:28" ht="15">
      <c r="A19" s="97">
        <v>15</v>
      </c>
      <c r="B19" s="98">
        <v>2.9431999999999999E-4</v>
      </c>
      <c r="C19" s="98">
        <v>2.9431999999999999E-4</v>
      </c>
      <c r="D19" s="98">
        <v>4.3282384072982703E-2</v>
      </c>
      <c r="E19" s="98">
        <v>1.6656E-4</v>
      </c>
      <c r="F19" s="98">
        <v>1.6656E-4</v>
      </c>
      <c r="G19" s="99">
        <v>3.31606078259385E-2</v>
      </c>
      <c r="H19" s="97">
        <v>15</v>
      </c>
      <c r="I19" s="98">
        <v>2.9431999999999999E-4</v>
      </c>
      <c r="J19" s="98">
        <v>2.9431999999999999E-4</v>
      </c>
      <c r="K19" s="98">
        <v>4.0282384072982701E-2</v>
      </c>
      <c r="L19" s="98">
        <v>1.7697000000000001E-4</v>
      </c>
      <c r="M19" s="98">
        <v>1.6656E-4</v>
      </c>
      <c r="N19" s="99">
        <v>3.0160607825938501E-2</v>
      </c>
      <c r="O19" s="97">
        <v>15</v>
      </c>
      <c r="P19" s="98">
        <v>2.0429841497102201E-4</v>
      </c>
      <c r="Q19" s="98">
        <v>2.0429841497102201E-4</v>
      </c>
      <c r="R19" s="98">
        <v>3.7923857918707102E-2</v>
      </c>
      <c r="S19" s="20">
        <v>15</v>
      </c>
      <c r="T19" s="20">
        <f t="shared" si="0"/>
        <v>1950</v>
      </c>
      <c r="U19" s="112">
        <f t="shared" si="1"/>
        <v>-47.161556786232765</v>
      </c>
      <c r="V19" s="21">
        <f t="shared" si="2"/>
        <v>2.266364364724971E-3</v>
      </c>
      <c r="W19" s="113">
        <f t="shared" si="3"/>
        <v>7.957312426058854E-4</v>
      </c>
      <c r="X19" s="22">
        <f t="shared" si="4"/>
        <v>1.221860434194745E-3</v>
      </c>
      <c r="Y19" s="46">
        <v>15</v>
      </c>
      <c r="Z19" s="114">
        <f t="shared" si="5"/>
        <v>22.949001424547568</v>
      </c>
      <c r="AA19" s="115">
        <f t="shared" si="6"/>
        <v>23.946255327786556</v>
      </c>
      <c r="AB19" s="116">
        <f t="shared" si="7"/>
        <v>23.639948008051569</v>
      </c>
    </row>
    <row r="20" spans="1:28" ht="15">
      <c r="A20" s="97">
        <v>16</v>
      </c>
      <c r="B20" s="98">
        <v>4.5048000000000001E-4</v>
      </c>
      <c r="C20" s="98">
        <v>4.5048000000000001E-4</v>
      </c>
      <c r="D20" s="98">
        <v>4.0633916845894097E-2</v>
      </c>
      <c r="E20" s="98">
        <v>1.9864000000000001E-4</v>
      </c>
      <c r="F20" s="98">
        <v>1.9864000000000001E-4</v>
      </c>
      <c r="G20" s="99">
        <v>3.2436887333160101E-2</v>
      </c>
      <c r="H20" s="97">
        <v>16</v>
      </c>
      <c r="I20" s="98">
        <v>4.5048000000000001E-4</v>
      </c>
      <c r="J20" s="98">
        <v>4.5048000000000001E-4</v>
      </c>
      <c r="K20" s="98">
        <v>3.7633916845894101E-2</v>
      </c>
      <c r="L20" s="98">
        <v>2.11055E-4</v>
      </c>
      <c r="M20" s="98">
        <v>1.9864000000000001E-4</v>
      </c>
      <c r="N20" s="99">
        <v>2.9436887333160099E-2</v>
      </c>
      <c r="O20" s="97">
        <v>16</v>
      </c>
      <c r="P20" s="98">
        <v>2.7373973208216703E-4</v>
      </c>
      <c r="Q20" s="98">
        <v>2.7373973208216703E-4</v>
      </c>
      <c r="R20" s="98">
        <v>3.6726380353113097E-2</v>
      </c>
      <c r="S20" s="20">
        <v>16</v>
      </c>
      <c r="T20" s="20">
        <f t="shared" si="0"/>
        <v>1951</v>
      </c>
      <c r="U20" s="112">
        <f t="shared" si="1"/>
        <v>-46.364760900080611</v>
      </c>
      <c r="V20" s="21">
        <f t="shared" si="2"/>
        <v>2.9640015813656266E-3</v>
      </c>
      <c r="W20" s="113">
        <f t="shared" si="3"/>
        <v>8.9374693688850976E-4</v>
      </c>
      <c r="X20" s="22">
        <f t="shared" si="4"/>
        <v>1.502653186841752E-3</v>
      </c>
      <c r="Y20" s="46">
        <v>16</v>
      </c>
      <c r="Z20" s="114">
        <f t="shared" si="5"/>
        <v>22.878813208492399</v>
      </c>
      <c r="AA20" s="115">
        <f t="shared" si="6"/>
        <v>23.88311007775749</v>
      </c>
      <c r="AB20" s="116">
        <f t="shared" si="7"/>
        <v>23.574350494504706</v>
      </c>
    </row>
    <row r="21" spans="1:28" ht="15">
      <c r="A21" s="97">
        <v>17</v>
      </c>
      <c r="B21" s="98">
        <v>6.1952000000000003E-4</v>
      </c>
      <c r="C21" s="98">
        <v>6.1952000000000003E-4</v>
      </c>
      <c r="D21" s="98">
        <v>3.7322800889046999E-2</v>
      </c>
      <c r="E21" s="98">
        <v>2.3903999999999999E-4</v>
      </c>
      <c r="F21" s="98">
        <v>2.3903999999999999E-4</v>
      </c>
      <c r="G21" s="99">
        <v>3.1241568686902199E-2</v>
      </c>
      <c r="H21" s="97">
        <v>17</v>
      </c>
      <c r="I21" s="98">
        <v>6.1952000000000003E-4</v>
      </c>
      <c r="J21" s="98">
        <v>6.1952000000000003E-4</v>
      </c>
      <c r="K21" s="98">
        <v>3.4322800889047003E-2</v>
      </c>
      <c r="L21" s="98">
        <v>2.5398E-4</v>
      </c>
      <c r="M21" s="98">
        <v>2.3903999999999999E-4</v>
      </c>
      <c r="N21" s="99">
        <v>2.82415686869022E-2</v>
      </c>
      <c r="O21" s="97">
        <v>17</v>
      </c>
      <c r="P21" s="98">
        <v>3.5291076954499902E-4</v>
      </c>
      <c r="Q21" s="98">
        <v>3.5291076954499902E-4</v>
      </c>
      <c r="R21" s="98">
        <v>3.4569251531859399E-2</v>
      </c>
      <c r="S21" s="20">
        <v>17</v>
      </c>
      <c r="T21" s="20">
        <f t="shared" si="0"/>
        <v>1952</v>
      </c>
      <c r="U21" s="112">
        <f t="shared" si="1"/>
        <v>-45.561565321122451</v>
      </c>
      <c r="V21" s="21">
        <f t="shared" si="2"/>
        <v>3.3928658113272637E-3</v>
      </c>
      <c r="W21" s="113">
        <f t="shared" si="3"/>
        <v>9.9232003819935588E-4</v>
      </c>
      <c r="X21" s="22">
        <f t="shared" si="4"/>
        <v>1.7048705434810657E-3</v>
      </c>
      <c r="Y21" s="46">
        <v>17</v>
      </c>
      <c r="Z21" s="114">
        <f t="shared" si="5"/>
        <v>22.821609022062802</v>
      </c>
      <c r="AA21" s="115">
        <f t="shared" si="6"/>
        <v>23.81972328559182</v>
      </c>
      <c r="AB21" s="116">
        <f t="shared" si="7"/>
        <v>23.51265588157646</v>
      </c>
    </row>
    <row r="22" spans="1:28" ht="15">
      <c r="A22" s="97">
        <v>18</v>
      </c>
      <c r="B22" s="98">
        <v>7.5807999999999995E-4</v>
      </c>
      <c r="C22" s="98">
        <v>7.5807999999999995E-4</v>
      </c>
      <c r="D22" s="98">
        <v>3.41904276276448E-2</v>
      </c>
      <c r="E22" s="98">
        <v>2.676E-4</v>
      </c>
      <c r="F22" s="98">
        <v>2.676E-4</v>
      </c>
      <c r="G22" s="99">
        <v>3.1178286868628599E-2</v>
      </c>
      <c r="H22" s="97">
        <v>18</v>
      </c>
      <c r="I22" s="98">
        <v>7.5807999999999995E-4</v>
      </c>
      <c r="J22" s="98">
        <v>7.5807999999999995E-4</v>
      </c>
      <c r="K22" s="98">
        <v>3.11904276276448E-2</v>
      </c>
      <c r="L22" s="98">
        <v>2.8432499999999999E-4</v>
      </c>
      <c r="M22" s="98">
        <v>2.676E-4</v>
      </c>
      <c r="N22" s="99">
        <v>2.68665124135983E-2</v>
      </c>
      <c r="O22" s="97">
        <v>18</v>
      </c>
      <c r="P22" s="98">
        <v>4.1467793569955599E-4</v>
      </c>
      <c r="Q22" s="98">
        <v>4.1467793569955599E-4</v>
      </c>
      <c r="R22" s="98">
        <v>3.2858904976688197E-2</v>
      </c>
      <c r="S22" s="20">
        <v>18</v>
      </c>
      <c r="T22" s="20">
        <f t="shared" si="0"/>
        <v>1953</v>
      </c>
      <c r="U22" s="112">
        <f t="shared" si="1"/>
        <v>-44.751997515716987</v>
      </c>
      <c r="V22" s="21">
        <f t="shared" si="2"/>
        <v>3.5012623477042584E-3</v>
      </c>
      <c r="W22" s="113">
        <f t="shared" si="3"/>
        <v>1.0800730370645096E-3</v>
      </c>
      <c r="X22" s="22">
        <f t="shared" si="4"/>
        <v>1.8044367898134833E-3</v>
      </c>
      <c r="Y22" s="46">
        <v>18</v>
      </c>
      <c r="Z22" s="114">
        <f t="shared" si="5"/>
        <v>22.771734823492555</v>
      </c>
      <c r="AA22" s="115">
        <f t="shared" si="6"/>
        <v>23.75608585704062</v>
      </c>
      <c r="AB22" s="116">
        <f t="shared" si="7"/>
        <v>23.453146695793119</v>
      </c>
    </row>
    <row r="23" spans="1:28" ht="15">
      <c r="A23" s="97">
        <v>19</v>
      </c>
      <c r="B23" s="98">
        <v>8.1656000000000003E-4</v>
      </c>
      <c r="C23" s="98">
        <v>8.1656000000000003E-4</v>
      </c>
      <c r="D23" s="98">
        <v>3.1814566962463202E-2</v>
      </c>
      <c r="E23" s="98">
        <v>2.7040000000000001E-4</v>
      </c>
      <c r="F23" s="98">
        <v>2.7040000000000001E-4</v>
      </c>
      <c r="G23" s="99">
        <v>3.1115005050354999E-2</v>
      </c>
      <c r="H23" s="97">
        <v>19</v>
      </c>
      <c r="I23" s="98">
        <v>8.1656000000000003E-4</v>
      </c>
      <c r="J23" s="98">
        <v>8.1656000000000003E-4</v>
      </c>
      <c r="K23" s="98">
        <v>2.8814566962463199E-2</v>
      </c>
      <c r="L23" s="98">
        <v>2.8729999999999999E-4</v>
      </c>
      <c r="M23" s="98">
        <v>2.7040000000000001E-4</v>
      </c>
      <c r="N23" s="99">
        <v>2.5811140053497099E-2</v>
      </c>
      <c r="O23" s="97">
        <v>19</v>
      </c>
      <c r="P23" s="98">
        <v>4.3424492750925101E-4</v>
      </c>
      <c r="Q23" s="98">
        <v>4.3424492750925101E-4</v>
      </c>
      <c r="R23" s="98">
        <v>3.1511074770630497E-2</v>
      </c>
      <c r="S23" s="20">
        <v>19</v>
      </c>
      <c r="T23" s="20">
        <f t="shared" si="0"/>
        <v>1954</v>
      </c>
      <c r="U23" s="112">
        <f t="shared" si="1"/>
        <v>-43.936088728459147</v>
      </c>
      <c r="V23" s="21">
        <f t="shared" si="2"/>
        <v>3.3040624342117733E-3</v>
      </c>
      <c r="W23" s="113">
        <f t="shared" si="3"/>
        <v>1.0610072447806665E-3</v>
      </c>
      <c r="X23" s="22">
        <f t="shared" si="4"/>
        <v>1.7338195758082528E-3</v>
      </c>
      <c r="Y23" s="46">
        <v>19</v>
      </c>
      <c r="Z23" s="114">
        <f t="shared" si="5"/>
        <v>22.722160461313951</v>
      </c>
      <c r="AA23" s="115">
        <f t="shared" si="6"/>
        <v>23.691918293467356</v>
      </c>
      <c r="AB23" s="116">
        <f t="shared" si="7"/>
        <v>23.393484627929418</v>
      </c>
    </row>
    <row r="24" spans="1:28" ht="15">
      <c r="A24" s="97">
        <v>20</v>
      </c>
      <c r="B24" s="98">
        <v>8.2144E-4</v>
      </c>
      <c r="C24" s="98">
        <v>8.2144E-4</v>
      </c>
      <c r="D24" s="98">
        <v>3.0206580490176299E-2</v>
      </c>
      <c r="E24" s="98">
        <v>2.5871999999999999E-4</v>
      </c>
      <c r="F24" s="98">
        <v>2.5871999999999999E-4</v>
      </c>
      <c r="G24" s="99">
        <v>3.1051723232081298E-2</v>
      </c>
      <c r="H24" s="97">
        <v>20</v>
      </c>
      <c r="I24" s="98">
        <v>8.2144E-4</v>
      </c>
      <c r="J24" s="98">
        <v>8.2144E-4</v>
      </c>
      <c r="K24" s="98">
        <v>2.72065804901763E-2</v>
      </c>
      <c r="L24" s="98">
        <v>2.7489000000000002E-4</v>
      </c>
      <c r="M24" s="98">
        <v>2.5871999999999999E-4</v>
      </c>
      <c r="N24" s="99">
        <v>2.4869421060333002E-2</v>
      </c>
      <c r="O24" s="97">
        <v>20</v>
      </c>
      <c r="P24" s="98">
        <v>4.2753245211104099E-4</v>
      </c>
      <c r="Q24" s="98">
        <v>4.2753245211104099E-4</v>
      </c>
      <c r="R24" s="98">
        <v>3.0566489902074199E-2</v>
      </c>
      <c r="S24" s="20">
        <v>20</v>
      </c>
      <c r="T24" s="20">
        <f t="shared" si="0"/>
        <v>1955</v>
      </c>
      <c r="U24" s="112">
        <f t="shared" si="1"/>
        <v>-43.113874071878222</v>
      </c>
      <c r="V24" s="21">
        <f t="shared" si="2"/>
        <v>3.0211160802024791E-3</v>
      </c>
      <c r="W24" s="113">
        <f t="shared" si="3"/>
        <v>9.868385809991703E-4</v>
      </c>
      <c r="X24" s="22">
        <f t="shared" si="4"/>
        <v>1.5969805887568853E-3</v>
      </c>
      <c r="Y24" s="46">
        <v>20</v>
      </c>
      <c r="Z24" s="114">
        <f t="shared" si="5"/>
        <v>22.665936549255132</v>
      </c>
      <c r="AA24" s="115">
        <f t="shared" si="6"/>
        <v>23.62466096164184</v>
      </c>
      <c r="AB24" s="116">
        <f t="shared" si="7"/>
        <v>23.329673457584569</v>
      </c>
    </row>
    <row r="25" spans="1:28" ht="15">
      <c r="A25" s="97">
        <v>21</v>
      </c>
      <c r="B25" s="98">
        <v>8.1912E-4</v>
      </c>
      <c r="C25" s="98">
        <v>8.1912E-4</v>
      </c>
      <c r="D25" s="98">
        <v>3.0156940360077902E-2</v>
      </c>
      <c r="E25" s="98">
        <v>2.4656E-4</v>
      </c>
      <c r="F25" s="98">
        <v>2.4656E-4</v>
      </c>
      <c r="G25" s="99">
        <v>3.0988441413807698E-2</v>
      </c>
      <c r="H25" s="97">
        <v>21</v>
      </c>
      <c r="I25" s="98">
        <v>8.1912E-4</v>
      </c>
      <c r="J25" s="98">
        <v>8.1912E-4</v>
      </c>
      <c r="K25" s="98">
        <v>2.59433319505929E-2</v>
      </c>
      <c r="L25" s="98">
        <v>2.6196999999999999E-4</v>
      </c>
      <c r="M25" s="98">
        <v>2.4656E-4</v>
      </c>
      <c r="N25" s="99">
        <v>2.4559793167069299E-2</v>
      </c>
      <c r="O25" s="97">
        <v>21</v>
      </c>
      <c r="P25" s="98">
        <v>4.1832539051207801E-4</v>
      </c>
      <c r="Q25" s="98">
        <v>4.1832539051207801E-4</v>
      </c>
      <c r="R25" s="98">
        <v>3.0501664839759999E-2</v>
      </c>
      <c r="S25" s="20">
        <v>21</v>
      </c>
      <c r="T25" s="20">
        <f t="shared" si="0"/>
        <v>1956</v>
      </c>
      <c r="U25" s="112">
        <f t="shared" si="1"/>
        <v>-42.285392613294071</v>
      </c>
      <c r="V25" s="21">
        <f t="shared" si="2"/>
        <v>2.9319665560442534E-3</v>
      </c>
      <c r="W25" s="113">
        <f t="shared" si="3"/>
        <v>9.1412176367195971E-4</v>
      </c>
      <c r="X25" s="22">
        <f t="shared" si="4"/>
        <v>1.5193447707120649E-3</v>
      </c>
      <c r="Y25" s="46">
        <v>21</v>
      </c>
      <c r="Z25" s="114">
        <f t="shared" si="5"/>
        <v>22.600853814109453</v>
      </c>
      <c r="AA25" s="115">
        <f t="shared" si="6"/>
        <v>23.552890300950533</v>
      </c>
      <c r="AB25" s="116">
        <f t="shared" si="7"/>
        <v>23.260006174242584</v>
      </c>
    </row>
    <row r="26" spans="1:28" ht="15">
      <c r="A26" s="97">
        <v>22</v>
      </c>
      <c r="B26" s="98">
        <v>8.1327999999999999E-4</v>
      </c>
      <c r="C26" s="98">
        <v>8.1327999999999999E-4</v>
      </c>
      <c r="D26" s="98">
        <v>3.0107300229979501E-2</v>
      </c>
      <c r="E26" s="98">
        <v>2.3784000000000001E-4</v>
      </c>
      <c r="F26" s="98">
        <v>2.3784000000000001E-4</v>
      </c>
      <c r="G26" s="99">
        <v>3.0925159595534098E-2</v>
      </c>
      <c r="H26" s="97">
        <v>22</v>
      </c>
      <c r="I26" s="98">
        <v>8.1327999999999999E-4</v>
      </c>
      <c r="J26" s="98">
        <v>8.1327999999999999E-4</v>
      </c>
      <c r="K26" s="98">
        <v>2.4884970716712598E-2</v>
      </c>
      <c r="L26" s="98">
        <v>2.5270499999999999E-4</v>
      </c>
      <c r="M26" s="98">
        <v>2.3784000000000001E-4</v>
      </c>
      <c r="N26" s="99">
        <v>2.4649955729395701E-2</v>
      </c>
      <c r="O26" s="97">
        <v>22</v>
      </c>
      <c r="P26" s="98">
        <v>4.1047015784037599E-4</v>
      </c>
      <c r="Q26" s="98">
        <v>4.1047015784037599E-4</v>
      </c>
      <c r="R26" s="98">
        <v>3.0440470095295501E-2</v>
      </c>
      <c r="S26" s="20">
        <v>22</v>
      </c>
      <c r="T26" s="20">
        <f t="shared" si="0"/>
        <v>1957</v>
      </c>
      <c r="U26" s="112">
        <f t="shared" si="1"/>
        <v>-41.450687458478598</v>
      </c>
      <c r="V26" s="21">
        <f t="shared" si="2"/>
        <v>2.8328647159202567E-3</v>
      </c>
      <c r="W26" s="113">
        <f t="shared" si="3"/>
        <v>8.5702518339223638E-4</v>
      </c>
      <c r="X26" s="22">
        <f t="shared" si="4"/>
        <v>1.4496561091154323E-3</v>
      </c>
      <c r="Y26" s="46">
        <v>22</v>
      </c>
      <c r="Z26" s="114">
        <f t="shared" si="5"/>
        <v>22.530947952546672</v>
      </c>
      <c r="AA26" s="115">
        <f t="shared" si="6"/>
        <v>23.476466261732519</v>
      </c>
      <c r="AB26" s="116">
        <f t="shared" si="7"/>
        <v>23.185633392062165</v>
      </c>
    </row>
    <row r="27" spans="1:28" ht="15">
      <c r="A27" s="97">
        <v>23</v>
      </c>
      <c r="B27" s="98">
        <v>8.0488000000000001E-4</v>
      </c>
      <c r="C27" s="98">
        <v>8.0488000000000001E-4</v>
      </c>
      <c r="D27" s="98">
        <v>3.00576600998812E-2</v>
      </c>
      <c r="E27" s="98">
        <v>2.2647999999999999E-4</v>
      </c>
      <c r="F27" s="98">
        <v>2.2647999999999999E-4</v>
      </c>
      <c r="G27" s="99">
        <v>3.0861877777260401E-2</v>
      </c>
      <c r="H27" s="97">
        <v>23</v>
      </c>
      <c r="I27" s="98">
        <v>8.0488000000000001E-4</v>
      </c>
      <c r="J27" s="98">
        <v>8.0488000000000001E-4</v>
      </c>
      <c r="K27" s="98">
        <v>2.3833562318475499E-2</v>
      </c>
      <c r="L27" s="98">
        <v>2.40635E-4</v>
      </c>
      <c r="M27" s="98">
        <v>2.2647999999999999E-4</v>
      </c>
      <c r="N27" s="99">
        <v>2.5559041004390801E-2</v>
      </c>
      <c r="O27" s="97">
        <v>23</v>
      </c>
      <c r="P27" s="98">
        <v>3.9999879905115699E-4</v>
      </c>
      <c r="Q27" s="98">
        <v>3.9999879905115699E-4</v>
      </c>
      <c r="R27" s="98">
        <v>3.0377636908177401E-2</v>
      </c>
      <c r="S27" s="20">
        <v>23</v>
      </c>
      <c r="T27" s="20">
        <f t="shared" si="0"/>
        <v>1958</v>
      </c>
      <c r="U27" s="112">
        <f t="shared" si="1"/>
        <v>-40.609805831761562</v>
      </c>
      <c r="V27" s="21">
        <f t="shared" si="2"/>
        <v>2.7280134202481571E-3</v>
      </c>
      <c r="W27" s="113">
        <f t="shared" si="3"/>
        <v>7.9310173518769387E-4</v>
      </c>
      <c r="X27" s="22">
        <f t="shared" si="4"/>
        <v>1.3734642560408164E-3</v>
      </c>
      <c r="Y27" s="46">
        <v>23</v>
      </c>
      <c r="Z27" s="114">
        <f t="shared" si="5"/>
        <v>22.455800114460555</v>
      </c>
      <c r="AA27" s="115">
        <f t="shared" si="6"/>
        <v>23.395575509593499</v>
      </c>
      <c r="AB27" s="116">
        <f t="shared" si="7"/>
        <v>23.106555286776743</v>
      </c>
    </row>
    <row r="28" spans="1:28" ht="15">
      <c r="A28" s="97">
        <v>24</v>
      </c>
      <c r="B28" s="98">
        <v>7.9976000000000005E-4</v>
      </c>
      <c r="C28" s="98">
        <v>7.9976000000000005E-4</v>
      </c>
      <c r="D28" s="98">
        <v>3.00080199697828E-2</v>
      </c>
      <c r="E28" s="98">
        <v>2.1583999999999999E-4</v>
      </c>
      <c r="F28" s="98">
        <v>2.1583999999999999E-4</v>
      </c>
      <c r="G28" s="99">
        <v>3.0798595958986801E-2</v>
      </c>
      <c r="H28" s="97">
        <v>24</v>
      </c>
      <c r="I28" s="98">
        <v>7.9976000000000005E-4</v>
      </c>
      <c r="J28" s="98">
        <v>7.9976000000000005E-4</v>
      </c>
      <c r="K28" s="98">
        <v>2.29739499497548E-2</v>
      </c>
      <c r="L28" s="98">
        <v>2.2933E-4</v>
      </c>
      <c r="M28" s="98">
        <v>2.1583999999999999E-4</v>
      </c>
      <c r="N28" s="99">
        <v>2.6651164465546301E-2</v>
      </c>
      <c r="O28" s="97">
        <v>24</v>
      </c>
      <c r="P28" s="98">
        <v>3.9101530750661499E-4</v>
      </c>
      <c r="Q28" s="98">
        <v>3.9101530750661499E-4</v>
      </c>
      <c r="R28" s="98">
        <v>3.03145311631286E-2</v>
      </c>
      <c r="S28" s="20">
        <v>24</v>
      </c>
      <c r="T28" s="20">
        <f t="shared" si="0"/>
        <v>1959</v>
      </c>
      <c r="U28" s="112">
        <f t="shared" si="1"/>
        <v>-39.762799152212928</v>
      </c>
      <c r="V28" s="21">
        <f t="shared" si="2"/>
        <v>2.6373095157852305E-3</v>
      </c>
      <c r="W28" s="113">
        <f t="shared" si="3"/>
        <v>7.3448955705082599E-4</v>
      </c>
      <c r="X28" s="22">
        <f t="shared" si="4"/>
        <v>1.3052336199914413E-3</v>
      </c>
      <c r="Y28" s="46">
        <v>24</v>
      </c>
      <c r="Z28" s="114">
        <f t="shared" si="5"/>
        <v>22.375071614682849</v>
      </c>
      <c r="AA28" s="115">
        <f t="shared" si="6"/>
        <v>23.309885640725927</v>
      </c>
      <c r="AB28" s="116">
        <f t="shared" si="7"/>
        <v>23.022437993919379</v>
      </c>
    </row>
    <row r="29" spans="1:28" ht="15">
      <c r="A29" s="97">
        <v>25</v>
      </c>
      <c r="B29" s="98">
        <v>7.9783999999999996E-4</v>
      </c>
      <c r="C29" s="98">
        <v>7.9783999999999996E-4</v>
      </c>
      <c r="D29" s="98">
        <v>2.9958379839684399E-2</v>
      </c>
      <c r="E29" s="98">
        <v>2.1560000000000001E-4</v>
      </c>
      <c r="F29" s="98">
        <v>2.1560000000000001E-4</v>
      </c>
      <c r="G29" s="99">
        <v>3.0735314140713201E-2</v>
      </c>
      <c r="H29" s="97">
        <v>25</v>
      </c>
      <c r="I29" s="98">
        <v>7.9783999999999996E-4</v>
      </c>
      <c r="J29" s="98">
        <v>7.9783999999999996E-4</v>
      </c>
      <c r="K29" s="98">
        <v>2.2786809415554901E-2</v>
      </c>
      <c r="L29" s="98">
        <v>2.29075E-4</v>
      </c>
      <c r="M29" s="98">
        <v>2.1560000000000001E-4</v>
      </c>
      <c r="N29" s="99">
        <v>2.7285707072485101E-2</v>
      </c>
      <c r="O29" s="97">
        <v>25</v>
      </c>
      <c r="P29" s="98">
        <v>3.9027169373742301E-4</v>
      </c>
      <c r="Q29" s="98">
        <v>3.9027169373742301E-4</v>
      </c>
      <c r="R29" s="98">
        <v>3.0259680301247201E-2</v>
      </c>
      <c r="S29" s="20">
        <v>25</v>
      </c>
      <c r="T29" s="20">
        <f t="shared" si="0"/>
        <v>1960</v>
      </c>
      <c r="U29" s="112">
        <f t="shared" si="1"/>
        <v>-38.909723105527839</v>
      </c>
      <c r="V29" s="21">
        <f t="shared" si="2"/>
        <v>2.5595336178412553E-3</v>
      </c>
      <c r="W29" s="113">
        <f t="shared" si="3"/>
        <v>7.1289019319250289E-4</v>
      </c>
      <c r="X29" s="22">
        <f t="shared" si="4"/>
        <v>1.2667868434672513E-3</v>
      </c>
      <c r="Y29" s="46">
        <v>25</v>
      </c>
      <c r="Z29" s="114">
        <f t="shared" si="5"/>
        <v>22.288857094180624</v>
      </c>
      <c r="AA29" s="115">
        <f t="shared" si="6"/>
        <v>23.219335425746838</v>
      </c>
      <c r="AB29" s="116">
        <f t="shared" si="7"/>
        <v>22.933268787113395</v>
      </c>
    </row>
    <row r="30" spans="1:28" ht="15">
      <c r="A30" s="97">
        <v>26</v>
      </c>
      <c r="B30" s="98">
        <v>7.8848000000000004E-4</v>
      </c>
      <c r="C30" s="98">
        <v>7.8848000000000004E-4</v>
      </c>
      <c r="D30" s="98">
        <v>2.9908739709586001E-2</v>
      </c>
      <c r="E30" s="98">
        <v>2.2392000000000001E-4</v>
      </c>
      <c r="F30" s="98">
        <v>2.2392000000000001E-4</v>
      </c>
      <c r="G30" s="99">
        <v>3.0672032322439501E-2</v>
      </c>
      <c r="H30" s="97">
        <v>26</v>
      </c>
      <c r="I30" s="98">
        <v>7.8848000000000004E-4</v>
      </c>
      <c r="J30" s="98">
        <v>7.8848000000000004E-4</v>
      </c>
      <c r="K30" s="98">
        <v>2.32883517076833E-2</v>
      </c>
      <c r="L30" s="98">
        <v>2.37915E-4</v>
      </c>
      <c r="M30" s="98">
        <v>2.2392000000000001E-4</v>
      </c>
      <c r="N30" s="99">
        <v>2.7428691094979401E-2</v>
      </c>
      <c r="O30" s="97">
        <v>26</v>
      </c>
      <c r="P30" s="98">
        <v>3.9328799999999999E-4</v>
      </c>
      <c r="Q30" s="98">
        <v>3.9328799999999999E-4</v>
      </c>
      <c r="R30" s="98">
        <v>3.0213644500134602E-2</v>
      </c>
      <c r="S30" s="20">
        <v>26</v>
      </c>
      <c r="T30" s="20">
        <f t="shared" si="0"/>
        <v>1961</v>
      </c>
      <c r="U30" s="112">
        <f t="shared" si="1"/>
        <v>-38.05063771123649</v>
      </c>
      <c r="V30" s="21">
        <f t="shared" si="2"/>
        <v>2.460583166916077E-3</v>
      </c>
      <c r="W30" s="113">
        <f t="shared" si="3"/>
        <v>7.1937245017949473E-4</v>
      </c>
      <c r="X30" s="22">
        <f t="shared" si="4"/>
        <v>1.2416427853963463E-3</v>
      </c>
      <c r="Y30" s="46">
        <v>26</v>
      </c>
      <c r="Z30" s="114">
        <f t="shared" si="5"/>
        <v>22.197225923922947</v>
      </c>
      <c r="AA30" s="115">
        <f t="shared" si="6"/>
        <v>23.124594139160077</v>
      </c>
      <c r="AB30" s="116">
        <f t="shared" si="7"/>
        <v>22.839532357699611</v>
      </c>
    </row>
    <row r="31" spans="1:28" ht="15">
      <c r="A31" s="97">
        <v>27</v>
      </c>
      <c r="B31" s="98">
        <v>7.7015999999999999E-4</v>
      </c>
      <c r="C31" s="98">
        <v>7.7015999999999999E-4</v>
      </c>
      <c r="D31" s="98">
        <v>2.98590995794876E-2</v>
      </c>
      <c r="E31" s="98">
        <v>2.3248E-4</v>
      </c>
      <c r="F31" s="98">
        <v>2.3248E-4</v>
      </c>
      <c r="G31" s="99">
        <v>3.0608750504165901E-2</v>
      </c>
      <c r="H31" s="97">
        <v>27</v>
      </c>
      <c r="I31" s="98">
        <v>7.7015999999999999E-4</v>
      </c>
      <c r="J31" s="98">
        <v>7.7015999999999999E-4</v>
      </c>
      <c r="K31" s="98">
        <v>2.4248431456910201E-2</v>
      </c>
      <c r="L31" s="98">
        <v>2.4700999999999998E-4</v>
      </c>
      <c r="M31" s="98">
        <v>2.3248E-4</v>
      </c>
      <c r="N31" s="99">
        <v>2.8039061101775498E-2</v>
      </c>
      <c r="O31" s="97">
        <v>27</v>
      </c>
      <c r="P31" s="98">
        <v>3.9378424089349601E-4</v>
      </c>
      <c r="Q31" s="98">
        <v>3.9378424089349601E-4</v>
      </c>
      <c r="R31" s="98">
        <v>3.01694455221354E-2</v>
      </c>
      <c r="S31" s="20">
        <v>27</v>
      </c>
      <c r="T31" s="20">
        <f t="shared" si="0"/>
        <v>1962</v>
      </c>
      <c r="U31" s="112">
        <f t="shared" si="1"/>
        <v>-37.18560738485813</v>
      </c>
      <c r="V31" s="21">
        <f t="shared" si="2"/>
        <v>2.3377098658112832E-3</v>
      </c>
      <c r="W31" s="113">
        <f t="shared" si="3"/>
        <v>7.2560745906850204E-4</v>
      </c>
      <c r="X31" s="22">
        <f t="shared" si="4"/>
        <v>1.2091492638280886E-3</v>
      </c>
      <c r="Y31" s="46">
        <v>27</v>
      </c>
      <c r="Z31" s="114">
        <f t="shared" si="5"/>
        <v>22.099492600369725</v>
      </c>
      <c r="AA31" s="115">
        <f t="shared" si="6"/>
        <v>23.026142277114552</v>
      </c>
      <c r="AB31" s="116">
        <f t="shared" si="7"/>
        <v>22.741350285519783</v>
      </c>
    </row>
    <row r="32" spans="1:28" ht="15">
      <c r="A32" s="97">
        <v>28</v>
      </c>
      <c r="B32" s="98">
        <v>7.4288000000000002E-4</v>
      </c>
      <c r="C32" s="98">
        <v>7.4288000000000002E-4</v>
      </c>
      <c r="D32" s="98">
        <v>2.9809459449389199E-2</v>
      </c>
      <c r="E32" s="98">
        <v>2.4032E-4</v>
      </c>
      <c r="F32" s="98">
        <v>2.4032E-4</v>
      </c>
      <c r="G32" s="99">
        <v>3.0545468685892301E-2</v>
      </c>
      <c r="H32" s="97">
        <v>28</v>
      </c>
      <c r="I32" s="98">
        <v>7.4288000000000002E-4</v>
      </c>
      <c r="J32" s="98">
        <v>7.4288000000000002E-4</v>
      </c>
      <c r="K32" s="98">
        <v>2.5407246953066301E-2</v>
      </c>
      <c r="L32" s="98">
        <v>2.5534E-4</v>
      </c>
      <c r="M32" s="98">
        <v>2.4032E-4</v>
      </c>
      <c r="N32" s="99">
        <v>2.85368989839434E-2</v>
      </c>
      <c r="O32" s="97">
        <v>28</v>
      </c>
      <c r="P32" s="98">
        <v>3.9108841458814701E-4</v>
      </c>
      <c r="Q32" s="98">
        <v>3.9108841458814701E-4</v>
      </c>
      <c r="R32" s="98">
        <v>3.0126446469437899E-2</v>
      </c>
      <c r="S32" s="20">
        <v>28</v>
      </c>
      <c r="T32" s="20">
        <f t="shared" si="0"/>
        <v>1963</v>
      </c>
      <c r="U32" s="112">
        <f t="shared" si="1"/>
        <v>-36.314700994617624</v>
      </c>
      <c r="V32" s="21">
        <f t="shared" si="2"/>
        <v>2.19306662998704E-3</v>
      </c>
      <c r="W32" s="113">
        <f t="shared" si="3"/>
        <v>7.2866998252727876E-4</v>
      </c>
      <c r="X32" s="22">
        <f t="shared" si="4"/>
        <v>1.1679046844247137E-3</v>
      </c>
      <c r="Y32" s="46">
        <v>28</v>
      </c>
      <c r="Z32" s="114">
        <f t="shared" si="5"/>
        <v>21.994889975678092</v>
      </c>
      <c r="AA32" s="115">
        <f t="shared" si="6"/>
        <v>22.923821664189028</v>
      </c>
      <c r="AB32" s="116">
        <f t="shared" si="7"/>
        <v>22.638377474398006</v>
      </c>
    </row>
    <row r="33" spans="1:28" ht="15">
      <c r="A33" s="97">
        <v>29</v>
      </c>
      <c r="B33" s="98">
        <v>7.1688000000000003E-4</v>
      </c>
      <c r="C33" s="98">
        <v>7.1688000000000003E-4</v>
      </c>
      <c r="D33" s="98">
        <v>2.9759819319290799E-2</v>
      </c>
      <c r="E33" s="98">
        <v>2.4736000000000002E-4</v>
      </c>
      <c r="F33" s="98">
        <v>2.4736000000000002E-4</v>
      </c>
      <c r="G33" s="99">
        <v>3.04821868676186E-2</v>
      </c>
      <c r="H33" s="97">
        <v>29</v>
      </c>
      <c r="I33" s="98">
        <v>7.1688000000000003E-4</v>
      </c>
      <c r="J33" s="98">
        <v>7.1688000000000003E-4</v>
      </c>
      <c r="K33" s="98">
        <v>2.6588796854562599E-2</v>
      </c>
      <c r="L33" s="98">
        <v>2.6281999999999998E-4</v>
      </c>
      <c r="M33" s="98">
        <v>2.4736000000000002E-4</v>
      </c>
      <c r="N33" s="99">
        <v>2.8876352806071901E-2</v>
      </c>
      <c r="O33" s="97">
        <v>29</v>
      </c>
      <c r="P33" s="98">
        <v>3.8821652460746601E-4</v>
      </c>
      <c r="Q33" s="98">
        <v>3.8821652460746601E-4</v>
      </c>
      <c r="R33" s="98">
        <v>3.0082266757530601E-2</v>
      </c>
      <c r="S33" s="20">
        <v>29</v>
      </c>
      <c r="T33" s="20">
        <f t="shared" si="0"/>
        <v>1964</v>
      </c>
      <c r="U33" s="112">
        <f t="shared" si="1"/>
        <v>-35.437991912343783</v>
      </c>
      <c r="V33" s="21">
        <f t="shared" si="2"/>
        <v>2.0580962807025724E-3</v>
      </c>
      <c r="W33" s="113">
        <f t="shared" si="3"/>
        <v>7.2856165661961704E-4</v>
      </c>
      <c r="X33" s="22">
        <f t="shared" si="4"/>
        <v>1.1273424899658441E-3</v>
      </c>
      <c r="Y33" s="46">
        <v>29</v>
      </c>
      <c r="Z33" s="114">
        <f t="shared" si="5"/>
        <v>21.882675740646857</v>
      </c>
      <c r="AA33" s="115">
        <f t="shared" si="6"/>
        <v>22.81740088586141</v>
      </c>
      <c r="AB33" s="116">
        <f t="shared" si="7"/>
        <v>22.530225729544611</v>
      </c>
    </row>
    <row r="34" spans="1:28" ht="15">
      <c r="A34" s="97">
        <v>30</v>
      </c>
      <c r="B34" s="98">
        <v>7.0343999999999995E-4</v>
      </c>
      <c r="C34" s="98">
        <v>7.0343999999999995E-4</v>
      </c>
      <c r="D34" s="98">
        <v>2.9710179189192502E-2</v>
      </c>
      <c r="E34" s="98">
        <v>2.5799999999999998E-4</v>
      </c>
      <c r="F34" s="98">
        <v>2.5799999999999998E-4</v>
      </c>
      <c r="G34" s="99">
        <v>3.0418905049345E-2</v>
      </c>
      <c r="H34" s="97">
        <v>30</v>
      </c>
      <c r="I34" s="98">
        <v>7.0343999999999995E-4</v>
      </c>
      <c r="J34" s="98">
        <v>7.0343999999999995E-4</v>
      </c>
      <c r="K34" s="98">
        <v>2.7396087839497301E-2</v>
      </c>
      <c r="L34" s="98">
        <v>2.7412500000000001E-4</v>
      </c>
      <c r="M34" s="98">
        <v>2.5799999999999998E-4</v>
      </c>
      <c r="N34" s="99">
        <v>2.92323424815338E-2</v>
      </c>
      <c r="O34" s="97">
        <v>30</v>
      </c>
      <c r="P34" s="98">
        <v>3.9163258558490098E-4</v>
      </c>
      <c r="Q34" s="98">
        <v>3.9163258558490098E-4</v>
      </c>
      <c r="R34" s="98">
        <v>3.0037130666125199E-2</v>
      </c>
      <c r="S34" s="20">
        <v>30</v>
      </c>
      <c r="T34" s="20">
        <f t="shared" si="0"/>
        <v>1965</v>
      </c>
      <c r="U34" s="112">
        <f t="shared" si="1"/>
        <v>-34.555558058171215</v>
      </c>
      <c r="V34" s="21">
        <f t="shared" si="2"/>
        <v>1.9637955936822856E-3</v>
      </c>
      <c r="W34" s="113">
        <f t="shared" si="3"/>
        <v>7.3811661307918045E-4</v>
      </c>
      <c r="X34" s="22">
        <f t="shared" si="4"/>
        <v>1.1057442661282218E-3</v>
      </c>
      <c r="Y34" s="46">
        <v>30</v>
      </c>
      <c r="Z34" s="114">
        <f t="shared" si="5"/>
        <v>21.762772651725022</v>
      </c>
      <c r="AA34" s="115">
        <f t="shared" si="6"/>
        <v>22.706640108629678</v>
      </c>
      <c r="AB34" s="116">
        <f t="shared" si="7"/>
        <v>22.416706063957371</v>
      </c>
    </row>
    <row r="35" spans="1:28" ht="15">
      <c r="A35" s="97">
        <v>31</v>
      </c>
      <c r="B35" s="98">
        <v>7.1239999999999997E-4</v>
      </c>
      <c r="C35" s="98">
        <v>7.1239999999999997E-4</v>
      </c>
      <c r="D35" s="98">
        <v>2.9660539059094101E-2</v>
      </c>
      <c r="E35" s="98">
        <v>2.8247999999999999E-4</v>
      </c>
      <c r="F35" s="98">
        <v>2.8247999999999999E-4</v>
      </c>
      <c r="G35" s="99">
        <v>3.03556232310714E-2</v>
      </c>
      <c r="H35" s="97">
        <v>31</v>
      </c>
      <c r="I35" s="98">
        <v>7.1239999999999997E-4</v>
      </c>
      <c r="J35" s="98">
        <v>7.1239999999999997E-4</v>
      </c>
      <c r="K35" s="98">
        <v>2.7851302807271501E-2</v>
      </c>
      <c r="L35" s="98">
        <v>3.0013499999999999E-4</v>
      </c>
      <c r="M35" s="98">
        <v>2.8247999999999999E-4</v>
      </c>
      <c r="N35" s="99">
        <v>2.9301070825083899E-2</v>
      </c>
      <c r="O35" s="97">
        <v>31</v>
      </c>
      <c r="P35" s="98">
        <v>4.1145661925481202E-4</v>
      </c>
      <c r="Q35" s="98">
        <v>4.1145661925481202E-4</v>
      </c>
      <c r="R35" s="98">
        <v>2.9994580048662501E-2</v>
      </c>
      <c r="S35" s="20">
        <v>31</v>
      </c>
      <c r="T35" s="20">
        <f t="shared" si="0"/>
        <v>1966</v>
      </c>
      <c r="U35" s="112">
        <f t="shared" si="1"/>
        <v>-33.667481938672715</v>
      </c>
      <c r="V35" s="21">
        <f t="shared" si="2"/>
        <v>1.9337863791911562E-3</v>
      </c>
      <c r="W35" s="113">
        <f t="shared" si="3"/>
        <v>7.8493832552786508E-4</v>
      </c>
      <c r="X35" s="22">
        <f t="shared" si="4"/>
        <v>1.1295172133602687E-3</v>
      </c>
      <c r="Y35" s="46">
        <v>31</v>
      </c>
      <c r="Z35" s="114">
        <f t="shared" si="5"/>
        <v>21.635771791103309</v>
      </c>
      <c r="AA35" s="115">
        <f t="shared" si="6"/>
        <v>22.591580934178108</v>
      </c>
      <c r="AB35" s="116">
        <f t="shared" si="7"/>
        <v>22.29803022558356</v>
      </c>
    </row>
    <row r="36" spans="1:28" ht="15">
      <c r="A36" s="97">
        <v>32</v>
      </c>
      <c r="B36" s="98">
        <v>7.4744000000000004E-4</v>
      </c>
      <c r="C36" s="98">
        <v>7.4744000000000004E-4</v>
      </c>
      <c r="D36" s="98">
        <v>2.96108989289957E-2</v>
      </c>
      <c r="E36" s="98">
        <v>3.1728000000000003E-4</v>
      </c>
      <c r="F36" s="98">
        <v>3.1728000000000003E-4</v>
      </c>
      <c r="G36" s="99">
        <v>3.02923414127978E-2</v>
      </c>
      <c r="H36" s="97">
        <v>32</v>
      </c>
      <c r="I36" s="98">
        <v>7.4744000000000004E-4</v>
      </c>
      <c r="J36" s="98">
        <v>7.4744000000000004E-4</v>
      </c>
      <c r="K36" s="98">
        <v>2.7837564871252302E-2</v>
      </c>
      <c r="L36" s="98">
        <v>3.3711E-4</v>
      </c>
      <c r="M36" s="98">
        <v>3.1728000000000003E-4</v>
      </c>
      <c r="N36" s="99">
        <v>2.89980589805858E-2</v>
      </c>
      <c r="O36" s="97">
        <v>32</v>
      </c>
      <c r="P36" s="98">
        <v>4.4632862068488902E-4</v>
      </c>
      <c r="Q36" s="98">
        <v>4.4632862068488902E-4</v>
      </c>
      <c r="R36" s="98">
        <v>2.99498737819552E-2</v>
      </c>
      <c r="S36" s="20">
        <v>32</v>
      </c>
      <c r="T36" s="20">
        <f t="shared" ref="T36:T67" si="8">$V$1+S36</f>
        <v>1967</v>
      </c>
      <c r="U36" s="112">
        <f t="shared" ref="U36:U67" si="9">100*ATAN((T36-2001)/100)</f>
        <v>-32.773850678055553</v>
      </c>
      <c r="V36" s="21">
        <f t="shared" ref="V36:V67" si="10">B36*EXP(-D36*$U36)</f>
        <v>1.9726186725359468E-3</v>
      </c>
      <c r="W36" s="113">
        <f t="shared" ref="W36:W67" si="11">E36*EXP(-G36*$U36)</f>
        <v>8.5626622553189801E-4</v>
      </c>
      <c r="X36" s="22">
        <f t="shared" ref="X36:X67" si="12">P36*EXP(-R36*$U36)</f>
        <v>1.1910948314136477E-3</v>
      </c>
      <c r="Y36" s="46">
        <v>32</v>
      </c>
      <c r="Z36" s="114">
        <f t="shared" ref="Z36:Z67" si="13">1+(1-V36)*$AB$1*Z37</f>
        <v>21.502784454440121</v>
      </c>
      <c r="AA36" s="115">
        <f t="shared" ref="AA36:AA67" si="14">1+(1-W36)*$AB$1*AA37</f>
        <v>22.472883999481567</v>
      </c>
      <c r="AB36" s="116">
        <f t="shared" ref="AB36:AB67" si="15">1+(1-X36)*$AB$1*AB37</f>
        <v>22.174998477093016</v>
      </c>
    </row>
    <row r="37" spans="1:28" ht="15">
      <c r="A37" s="97">
        <v>33</v>
      </c>
      <c r="B37" s="98">
        <v>7.9303999999999996E-4</v>
      </c>
      <c r="C37" s="98">
        <v>7.9303999999999996E-4</v>
      </c>
      <c r="D37" s="98">
        <v>2.9561258798897299E-2</v>
      </c>
      <c r="E37" s="98">
        <v>3.6079999999999999E-4</v>
      </c>
      <c r="F37" s="98">
        <v>3.6079999999999999E-4</v>
      </c>
      <c r="G37" s="99">
        <v>3.0229059594524099E-2</v>
      </c>
      <c r="H37" s="97">
        <v>33</v>
      </c>
      <c r="I37" s="98">
        <v>7.9303999999999996E-4</v>
      </c>
      <c r="J37" s="98">
        <v>7.9303999999999996E-4</v>
      </c>
      <c r="K37" s="98">
        <v>2.7585090711365199E-2</v>
      </c>
      <c r="L37" s="98">
        <v>3.8335000000000002E-4</v>
      </c>
      <c r="M37" s="98">
        <v>3.6079999999999999E-4</v>
      </c>
      <c r="N37" s="99">
        <v>2.8572835430189399E-2</v>
      </c>
      <c r="O37" s="97">
        <v>33</v>
      </c>
      <c r="P37" s="98">
        <v>4.9047257256296301E-4</v>
      </c>
      <c r="Q37" s="98">
        <v>4.9047257256296301E-4</v>
      </c>
      <c r="R37" s="98">
        <v>2.9904908959992E-2</v>
      </c>
      <c r="S37" s="20">
        <v>33</v>
      </c>
      <c r="T37" s="20">
        <f t="shared" si="8"/>
        <v>1968</v>
      </c>
      <c r="U37" s="112">
        <f t="shared" si="9"/>
        <v>-31.874756042064444</v>
      </c>
      <c r="V37" s="21">
        <f t="shared" si="10"/>
        <v>2.0347567839261523E-3</v>
      </c>
      <c r="W37" s="113">
        <f t="shared" si="11"/>
        <v>9.4564542912712517E-4</v>
      </c>
      <c r="X37" s="22">
        <f t="shared" si="12"/>
        <v>1.2722993289260467E-3</v>
      </c>
      <c r="Y37" s="46">
        <v>33</v>
      </c>
      <c r="Z37" s="114">
        <f t="shared" si="13"/>
        <v>21.36504091125877</v>
      </c>
      <c r="AA37" s="115">
        <f t="shared" si="14"/>
        <v>22.350937712533039</v>
      </c>
      <c r="AB37" s="116">
        <f t="shared" si="15"/>
        <v>22.048259984686162</v>
      </c>
    </row>
    <row r="38" spans="1:28" ht="15">
      <c r="A38" s="97">
        <v>34</v>
      </c>
      <c r="B38" s="98">
        <v>8.4223999999999996E-4</v>
      </c>
      <c r="C38" s="98">
        <v>8.4223999999999996E-4</v>
      </c>
      <c r="D38" s="98">
        <v>2.9511618668798902E-2</v>
      </c>
      <c r="E38" s="98">
        <v>4.0000000000000002E-4</v>
      </c>
      <c r="F38" s="98">
        <v>4.0000000000000002E-4</v>
      </c>
      <c r="G38" s="99">
        <v>3.0165777776250499E-2</v>
      </c>
      <c r="H38" s="97">
        <v>34</v>
      </c>
      <c r="I38" s="98">
        <v>8.4223999999999996E-4</v>
      </c>
      <c r="J38" s="98">
        <v>8.4223999999999996E-4</v>
      </c>
      <c r="K38" s="98">
        <v>2.7041376641978799E-2</v>
      </c>
      <c r="L38" s="98">
        <v>4.2499999999999998E-4</v>
      </c>
      <c r="M38" s="98">
        <v>4.0000000000000002E-4</v>
      </c>
      <c r="N38" s="99">
        <v>2.81618039372965E-2</v>
      </c>
      <c r="O38" s="97">
        <v>34</v>
      </c>
      <c r="P38" s="98">
        <v>5.3267245368986398E-4</v>
      </c>
      <c r="Q38" s="98">
        <v>5.3267245368986398E-4</v>
      </c>
      <c r="R38" s="98">
        <v>2.9855159350435E-2</v>
      </c>
      <c r="S38" s="20">
        <v>34</v>
      </c>
      <c r="T38" s="20">
        <f t="shared" si="8"/>
        <v>1969</v>
      </c>
      <c r="U38" s="112">
        <f t="shared" si="9"/>
        <v>-30.970294454245622</v>
      </c>
      <c r="V38" s="21">
        <f t="shared" si="10"/>
        <v>2.1007475346508007E-3</v>
      </c>
      <c r="W38" s="113">
        <f t="shared" si="11"/>
        <v>1.0181143992597902E-3</v>
      </c>
      <c r="X38" s="22">
        <f t="shared" si="12"/>
        <v>1.342823516398347E-3</v>
      </c>
      <c r="Y38" s="46">
        <v>34</v>
      </c>
      <c r="Z38" s="114">
        <f t="shared" si="13"/>
        <v>21.222825836554136</v>
      </c>
      <c r="AA38" s="115">
        <f t="shared" si="14"/>
        <v>22.225993129845413</v>
      </c>
      <c r="AB38" s="116">
        <f t="shared" si="15"/>
        <v>21.918076738399225</v>
      </c>
    </row>
    <row r="39" spans="1:28" ht="15">
      <c r="A39" s="97">
        <v>35</v>
      </c>
      <c r="B39" s="98">
        <v>8.9311999999999996E-4</v>
      </c>
      <c r="C39" s="98">
        <v>8.9311999999999996E-4</v>
      </c>
      <c r="D39" s="98">
        <v>2.9461978538700501E-2</v>
      </c>
      <c r="E39" s="98">
        <v>4.3152000000000002E-4</v>
      </c>
      <c r="F39" s="98">
        <v>4.3152000000000002E-4</v>
      </c>
      <c r="G39" s="99">
        <v>3.0102495957976899E-2</v>
      </c>
      <c r="H39" s="97">
        <v>35</v>
      </c>
      <c r="I39" s="98">
        <v>8.9311999999999996E-4</v>
      </c>
      <c r="J39" s="98">
        <v>8.9311999999999996E-4</v>
      </c>
      <c r="K39" s="98">
        <v>2.6438043128812299E-2</v>
      </c>
      <c r="L39" s="98">
        <v>4.5848999999999998E-4</v>
      </c>
      <c r="M39" s="98">
        <v>4.3152000000000002E-4</v>
      </c>
      <c r="N39" s="99">
        <v>2.7482806346449E-2</v>
      </c>
      <c r="O39" s="97">
        <v>35</v>
      </c>
      <c r="P39" s="98">
        <v>5.7000026145108895E-4</v>
      </c>
      <c r="Q39" s="98">
        <v>5.7000026145108895E-4</v>
      </c>
      <c r="R39" s="98">
        <v>2.9801004712501401E-2</v>
      </c>
      <c r="S39" s="20">
        <v>35</v>
      </c>
      <c r="T39" s="20">
        <f t="shared" si="8"/>
        <v>1970</v>
      </c>
      <c r="U39" s="112">
        <f t="shared" si="9"/>
        <v>-30.060567004239541</v>
      </c>
      <c r="V39" s="21">
        <f t="shared" si="10"/>
        <v>2.1654094182355661E-3</v>
      </c>
      <c r="W39" s="113">
        <f t="shared" si="11"/>
        <v>1.0665793699844842E-3</v>
      </c>
      <c r="X39" s="22">
        <f t="shared" si="12"/>
        <v>1.3961474744530618E-3</v>
      </c>
      <c r="Y39" s="46">
        <v>35</v>
      </c>
      <c r="Z39" s="114">
        <f t="shared" si="13"/>
        <v>21.076014255002768</v>
      </c>
      <c r="AA39" s="115">
        <f t="shared" si="14"/>
        <v>22.097530669201632</v>
      </c>
      <c r="AB39" s="116">
        <f t="shared" si="15"/>
        <v>21.784051945169612</v>
      </c>
    </row>
    <row r="40" spans="1:28" ht="15">
      <c r="A40" s="97">
        <v>36</v>
      </c>
      <c r="B40" s="98">
        <v>9.5783999999999995E-4</v>
      </c>
      <c r="C40" s="98">
        <v>9.5783999999999995E-4</v>
      </c>
      <c r="D40" s="98">
        <v>2.94123384086021E-2</v>
      </c>
      <c r="E40" s="98">
        <v>4.6799999999999999E-4</v>
      </c>
      <c r="F40" s="98">
        <v>4.6799999999999999E-4</v>
      </c>
      <c r="G40" s="99">
        <v>3.0039214139703199E-2</v>
      </c>
      <c r="H40" s="97">
        <v>36</v>
      </c>
      <c r="I40" s="98">
        <v>9.5783999999999995E-4</v>
      </c>
      <c r="J40" s="98">
        <v>9.5783999999999995E-4</v>
      </c>
      <c r="K40" s="98">
        <v>2.6020447864009401E-2</v>
      </c>
      <c r="L40" s="98">
        <v>4.9724999999999997E-4</v>
      </c>
      <c r="M40" s="98">
        <v>4.6799999999999999E-4</v>
      </c>
      <c r="N40" s="99">
        <v>2.6562779226084101E-2</v>
      </c>
      <c r="O40" s="97">
        <v>36</v>
      </c>
      <c r="P40" s="98">
        <v>6.1495199999999999E-4</v>
      </c>
      <c r="Q40" s="98">
        <v>6.1495199999999999E-4</v>
      </c>
      <c r="R40" s="98">
        <v>2.97458029150338E-2</v>
      </c>
      <c r="S40" s="20">
        <v>36</v>
      </c>
      <c r="T40" s="20">
        <f t="shared" si="8"/>
        <v>1971</v>
      </c>
      <c r="U40" s="112">
        <f t="shared" si="9"/>
        <v>-29.145679447786708</v>
      </c>
      <c r="V40" s="21">
        <f t="shared" si="10"/>
        <v>2.2572969496809643E-3</v>
      </c>
      <c r="W40" s="113">
        <f t="shared" si="11"/>
        <v>1.1232500608201576E-3</v>
      </c>
      <c r="X40" s="22">
        <f t="shared" si="12"/>
        <v>1.4633825537546808E-3</v>
      </c>
      <c r="Y40" s="46">
        <v>36</v>
      </c>
      <c r="Z40" s="114">
        <f t="shared" si="13"/>
        <v>20.924364641468113</v>
      </c>
      <c r="AA40" s="115">
        <f t="shared" si="14"/>
        <v>21.964859161616094</v>
      </c>
      <c r="AB40" s="116">
        <f t="shared" si="15"/>
        <v>21.645634520945752</v>
      </c>
    </row>
    <row r="41" spans="1:28" ht="15">
      <c r="A41" s="97">
        <v>37</v>
      </c>
      <c r="B41" s="98">
        <v>1.05272E-3</v>
      </c>
      <c r="C41" s="98">
        <v>1.05272E-3</v>
      </c>
      <c r="D41" s="98">
        <v>2.9362698278503699E-2</v>
      </c>
      <c r="E41" s="98">
        <v>5.2264E-4</v>
      </c>
      <c r="F41" s="98">
        <v>5.2264E-4</v>
      </c>
      <c r="G41" s="99">
        <v>2.9975932321429598E-2</v>
      </c>
      <c r="H41" s="97">
        <v>37</v>
      </c>
      <c r="I41" s="98">
        <v>1.05272E-3</v>
      </c>
      <c r="J41" s="98">
        <v>1.05272E-3</v>
      </c>
      <c r="K41" s="98">
        <v>2.5667945979474201E-2</v>
      </c>
      <c r="L41" s="98">
        <v>5.5530499999999997E-4</v>
      </c>
      <c r="M41" s="98">
        <v>5.2264E-4</v>
      </c>
      <c r="N41" s="99">
        <v>2.550053845789E-2</v>
      </c>
      <c r="O41" s="97">
        <v>37</v>
      </c>
      <c r="P41" s="98">
        <v>6.8166365077964902E-4</v>
      </c>
      <c r="Q41" s="98">
        <v>6.8166365077964902E-4</v>
      </c>
      <c r="R41" s="98">
        <v>2.9691260952021001E-2</v>
      </c>
      <c r="S41" s="20">
        <v>37</v>
      </c>
      <c r="T41" s="20">
        <f t="shared" si="8"/>
        <v>1972</v>
      </c>
      <c r="U41" s="112">
        <f t="shared" si="9"/>
        <v>-28.225742198149113</v>
      </c>
      <c r="V41" s="21">
        <f t="shared" si="10"/>
        <v>2.411288477763843E-3</v>
      </c>
      <c r="W41" s="113">
        <f t="shared" si="11"/>
        <v>1.2180248232348339E-3</v>
      </c>
      <c r="X41" s="22">
        <f t="shared" si="12"/>
        <v>1.5759195665850064E-3</v>
      </c>
      <c r="Y41" s="46">
        <v>37</v>
      </c>
      <c r="Z41" s="114">
        <f t="shared" si="13"/>
        <v>20.768219265124308</v>
      </c>
      <c r="AA41" s="115">
        <f t="shared" si="14"/>
        <v>21.827971798731244</v>
      </c>
      <c r="AB41" s="116">
        <f t="shared" si="15"/>
        <v>21.502926909878163</v>
      </c>
    </row>
    <row r="42" spans="1:28" ht="15">
      <c r="A42" s="97">
        <v>38</v>
      </c>
      <c r="B42" s="98">
        <v>1.1756799999999999E-3</v>
      </c>
      <c r="C42" s="98">
        <v>1.1756799999999999E-3</v>
      </c>
      <c r="D42" s="98">
        <v>2.9313058148405301E-2</v>
      </c>
      <c r="E42" s="98">
        <v>5.9296000000000001E-4</v>
      </c>
      <c r="F42" s="98">
        <v>5.9296000000000001E-4</v>
      </c>
      <c r="G42" s="99">
        <v>2.9912650503155998E-2</v>
      </c>
      <c r="H42" s="97">
        <v>38</v>
      </c>
      <c r="I42" s="98">
        <v>1.1756799999999999E-3</v>
      </c>
      <c r="J42" s="98">
        <v>1.1756799999999999E-3</v>
      </c>
      <c r="K42" s="98">
        <v>2.5291939323546599E-2</v>
      </c>
      <c r="L42" s="98">
        <v>6.3002000000000002E-4</v>
      </c>
      <c r="M42" s="98">
        <v>5.9296000000000001E-4</v>
      </c>
      <c r="N42" s="99">
        <v>2.45432368716514E-2</v>
      </c>
      <c r="O42" s="97">
        <v>38</v>
      </c>
      <c r="P42" s="98">
        <v>7.6777518123348596E-4</v>
      </c>
      <c r="Q42" s="98">
        <v>7.6777518123348596E-4</v>
      </c>
      <c r="R42" s="98">
        <v>2.9636584822984199E-2</v>
      </c>
      <c r="S42" s="20">
        <v>38</v>
      </c>
      <c r="T42" s="20">
        <f t="shared" si="8"/>
        <v>1973</v>
      </c>
      <c r="U42" s="112">
        <f t="shared" si="9"/>
        <v>-27.300870308671062</v>
      </c>
      <c r="V42" s="21">
        <f t="shared" si="10"/>
        <v>2.6172357471427859E-3</v>
      </c>
      <c r="W42" s="113">
        <f t="shared" si="11"/>
        <v>1.3418014222329063E-3</v>
      </c>
      <c r="X42" s="22">
        <f t="shared" si="12"/>
        <v>1.7243432221253718E-3</v>
      </c>
      <c r="Y42" s="46">
        <v>38</v>
      </c>
      <c r="Z42" s="114">
        <f t="shared" si="13"/>
        <v>20.608641415316402</v>
      </c>
      <c r="AA42" s="115">
        <f t="shared" si="14"/>
        <v>21.687506592063698</v>
      </c>
      <c r="AB42" s="116">
        <f t="shared" si="15"/>
        <v>21.356700428356032</v>
      </c>
    </row>
    <row r="43" spans="1:28" ht="15">
      <c r="A43" s="97">
        <v>39</v>
      </c>
      <c r="B43" s="98">
        <v>1.31792E-3</v>
      </c>
      <c r="C43" s="98">
        <v>1.31792E-3</v>
      </c>
      <c r="D43" s="98">
        <v>2.9263418018307001E-2</v>
      </c>
      <c r="E43" s="98">
        <v>6.7296000000000001E-4</v>
      </c>
      <c r="F43" s="98">
        <v>6.7296000000000001E-4</v>
      </c>
      <c r="G43" s="99">
        <v>2.9849368684882398E-2</v>
      </c>
      <c r="H43" s="97">
        <v>39</v>
      </c>
      <c r="I43" s="98">
        <v>1.31792E-3</v>
      </c>
      <c r="J43" s="98">
        <v>1.31792E-3</v>
      </c>
      <c r="K43" s="98">
        <v>2.4841712706118301E-2</v>
      </c>
      <c r="L43" s="98">
        <v>7.1502000000000002E-4</v>
      </c>
      <c r="M43" s="98">
        <v>6.7296000000000001E-4</v>
      </c>
      <c r="N43" s="99">
        <v>2.3731500440785099E-2</v>
      </c>
      <c r="O43" s="97">
        <v>39</v>
      </c>
      <c r="P43" s="98">
        <v>8.6644656890282599E-4</v>
      </c>
      <c r="Q43" s="98">
        <v>8.6644656890282599E-4</v>
      </c>
      <c r="R43" s="98">
        <v>2.9581310262016301E-2</v>
      </c>
      <c r="S43" s="20">
        <v>39</v>
      </c>
      <c r="T43" s="20">
        <f t="shared" si="8"/>
        <v>1974</v>
      </c>
      <c r="U43" s="112">
        <f t="shared" si="9"/>
        <v>-26.371183446226613</v>
      </c>
      <c r="V43" s="21">
        <f t="shared" si="10"/>
        <v>2.8512733986474077E-3</v>
      </c>
      <c r="W43" s="113">
        <f t="shared" si="11"/>
        <v>1.478597185834193E-3</v>
      </c>
      <c r="X43" s="22">
        <f t="shared" si="12"/>
        <v>1.8903071415922342E-3</v>
      </c>
      <c r="Y43" s="46">
        <v>39</v>
      </c>
      <c r="Z43" s="114">
        <f t="shared" si="13"/>
        <v>20.446500383637083</v>
      </c>
      <c r="AA43" s="115">
        <f t="shared" si="14"/>
        <v>21.543914510877407</v>
      </c>
      <c r="AB43" s="116">
        <f t="shared" si="15"/>
        <v>21.207537519069248</v>
      </c>
    </row>
    <row r="44" spans="1:28" ht="15">
      <c r="A44" s="97">
        <v>40</v>
      </c>
      <c r="B44" s="98">
        <v>1.472E-3</v>
      </c>
      <c r="C44" s="98">
        <v>1.472E-3</v>
      </c>
      <c r="D44" s="98">
        <v>2.92137778882086E-2</v>
      </c>
      <c r="E44" s="98">
        <v>7.6015999999999996E-4</v>
      </c>
      <c r="F44" s="98">
        <v>7.6015999999999996E-4</v>
      </c>
      <c r="G44" s="99">
        <v>2.9786086866608701E-2</v>
      </c>
      <c r="H44" s="97">
        <v>40</v>
      </c>
      <c r="I44" s="98">
        <v>1.472E-3</v>
      </c>
      <c r="J44" s="98">
        <v>1.472E-3</v>
      </c>
      <c r="K44" s="98">
        <v>2.4525211667753601E-2</v>
      </c>
      <c r="L44" s="98">
        <v>8.0767000000000002E-4</v>
      </c>
      <c r="M44" s="98">
        <v>7.6015999999999996E-4</v>
      </c>
      <c r="N44" s="99">
        <v>2.28201126550093E-2</v>
      </c>
      <c r="O44" s="97">
        <v>40</v>
      </c>
      <c r="P44" s="98">
        <v>9.7370980157540502E-4</v>
      </c>
      <c r="Q44" s="98">
        <v>9.7370980157540502E-4</v>
      </c>
      <c r="R44" s="98">
        <v>2.9525805020117701E-2</v>
      </c>
      <c r="S44" s="20">
        <v>40</v>
      </c>
      <c r="T44" s="20">
        <f t="shared" si="8"/>
        <v>1975</v>
      </c>
      <c r="U44" s="112">
        <f t="shared" si="9"/>
        <v>-25.436805855326593</v>
      </c>
      <c r="V44" s="21">
        <f t="shared" si="10"/>
        <v>3.0948121720472464E-3</v>
      </c>
      <c r="W44" s="113">
        <f t="shared" si="11"/>
        <v>1.6216377044490765E-3</v>
      </c>
      <c r="X44" s="22">
        <f t="shared" si="12"/>
        <v>2.0634930564992228E-3</v>
      </c>
      <c r="Y44" s="46">
        <v>40</v>
      </c>
      <c r="Z44" s="114">
        <f t="shared" si="13"/>
        <v>20.282190469133511</v>
      </c>
      <c r="AA44" s="115">
        <f t="shared" si="14"/>
        <v>21.397309092320835</v>
      </c>
      <c r="AB44" s="116">
        <f t="shared" si="15"/>
        <v>21.055640647719201</v>
      </c>
    </row>
    <row r="45" spans="1:28" ht="15">
      <c r="A45" s="97">
        <v>41</v>
      </c>
      <c r="B45" s="98">
        <v>1.6005348000000001E-3</v>
      </c>
      <c r="C45" s="98">
        <v>1.6107228E-3</v>
      </c>
      <c r="D45" s="98">
        <v>2.9164137758110199E-2</v>
      </c>
      <c r="E45" s="98">
        <v>8.3734874999999995E-4</v>
      </c>
      <c r="F45" s="98">
        <v>8.4173486250000004E-4</v>
      </c>
      <c r="G45" s="99">
        <v>2.9722805048335101E-2</v>
      </c>
      <c r="H45" s="97">
        <v>41</v>
      </c>
      <c r="I45" s="98">
        <v>1.6005348000000001E-3</v>
      </c>
      <c r="J45" s="98">
        <v>1.6107228E-3</v>
      </c>
      <c r="K45" s="98">
        <v>2.4520755272524099E-2</v>
      </c>
      <c r="L45" s="98">
        <v>8.9051375000000004E-4</v>
      </c>
      <c r="M45" s="98">
        <v>8.4173486250000004E-4</v>
      </c>
      <c r="N45" s="99">
        <v>2.1669870043847201E-2</v>
      </c>
      <c r="O45" s="97">
        <v>41</v>
      </c>
      <c r="P45" s="98">
        <v>1.0663015000929501E-3</v>
      </c>
      <c r="Q45" s="98">
        <v>1.0724306371417401E-3</v>
      </c>
      <c r="R45" s="98">
        <v>2.9470466993760401E-2</v>
      </c>
      <c r="S45" s="20">
        <v>41</v>
      </c>
      <c r="T45" s="20">
        <f t="shared" si="8"/>
        <v>1976</v>
      </c>
      <c r="U45" s="112">
        <f t="shared" si="9"/>
        <v>-24.497866312686416</v>
      </c>
      <c r="V45" s="21">
        <f t="shared" si="10"/>
        <v>3.2700228456419454E-3</v>
      </c>
      <c r="W45" s="113">
        <f t="shared" si="11"/>
        <v>1.7343464835575153E-3</v>
      </c>
      <c r="X45" s="22">
        <f t="shared" si="12"/>
        <v>2.1949509048088726E-3</v>
      </c>
      <c r="Y45" s="46">
        <v>41</v>
      </c>
      <c r="Z45" s="114">
        <f t="shared" si="13"/>
        <v>20.115732501694744</v>
      </c>
      <c r="AA45" s="115">
        <f t="shared" si="14"/>
        <v>21.247657458479559</v>
      </c>
      <c r="AB45" s="116">
        <f t="shared" si="15"/>
        <v>20.90099533237024</v>
      </c>
    </row>
    <row r="46" spans="1:28" ht="15">
      <c r="A46" s="97">
        <v>42</v>
      </c>
      <c r="B46" s="98">
        <v>1.7253437999999999E-3</v>
      </c>
      <c r="C46" s="98">
        <v>1.7477218000000001E-3</v>
      </c>
      <c r="D46" s="98">
        <v>2.9114497628011798E-2</v>
      </c>
      <c r="E46" s="98">
        <v>9.1364750000000002E-4</v>
      </c>
      <c r="F46" s="98">
        <v>9.2337342500000005E-4</v>
      </c>
      <c r="G46" s="99">
        <v>2.9659523230061501E-2</v>
      </c>
      <c r="H46" s="97">
        <v>42</v>
      </c>
      <c r="I46" s="98">
        <v>1.7253437999999999E-3</v>
      </c>
      <c r="J46" s="98">
        <v>1.7477218000000001E-3</v>
      </c>
      <c r="K46" s="98">
        <v>2.47181351326821E-2</v>
      </c>
      <c r="L46" s="98">
        <v>9.7259250000000005E-4</v>
      </c>
      <c r="M46" s="98">
        <v>9.2337342500000005E-4</v>
      </c>
      <c r="N46" s="99">
        <v>2.04171918520374E-2</v>
      </c>
      <c r="O46" s="97">
        <v>42</v>
      </c>
      <c r="P46" s="98">
        <v>1.1571523484335401E-3</v>
      </c>
      <c r="Q46" s="98">
        <v>1.17067960272198E-3</v>
      </c>
      <c r="R46" s="98">
        <v>2.9414927053078702E-2</v>
      </c>
      <c r="S46" s="20">
        <v>42</v>
      </c>
      <c r="T46" s="20">
        <f t="shared" si="8"/>
        <v>1977</v>
      </c>
      <c r="U46" s="112">
        <f t="shared" si="9"/>
        <v>-23.554498072086332</v>
      </c>
      <c r="V46" s="21">
        <f t="shared" si="10"/>
        <v>3.4253501950642735E-3</v>
      </c>
      <c r="W46" s="113">
        <f t="shared" si="11"/>
        <v>1.8373140200949305E-3</v>
      </c>
      <c r="X46" s="22">
        <f t="shared" si="12"/>
        <v>2.313625922921328E-3</v>
      </c>
      <c r="Y46" s="46">
        <v>42</v>
      </c>
      <c r="Z46" s="114">
        <f t="shared" si="13"/>
        <v>19.945584318152569</v>
      </c>
      <c r="AA46" s="115">
        <f t="shared" si="14"/>
        <v>21.094148318779059</v>
      </c>
      <c r="AB46" s="116">
        <f t="shared" si="15"/>
        <v>20.742564055406522</v>
      </c>
    </row>
    <row r="47" spans="1:28" ht="15">
      <c r="A47" s="97">
        <v>43</v>
      </c>
      <c r="B47" s="98">
        <v>1.8520633E-3</v>
      </c>
      <c r="C47" s="98">
        <v>1.8887863E-3</v>
      </c>
      <c r="D47" s="98">
        <v>2.9064857497913401E-2</v>
      </c>
      <c r="E47" s="98">
        <v>9.9117374999999996E-4</v>
      </c>
      <c r="F47" s="98">
        <v>1.0072600125E-3</v>
      </c>
      <c r="G47" s="99">
        <v>2.9596241411787801E-2</v>
      </c>
      <c r="H47" s="97">
        <v>43</v>
      </c>
      <c r="I47" s="98">
        <v>1.8520633E-3</v>
      </c>
      <c r="J47" s="98">
        <v>1.8887863E-3</v>
      </c>
      <c r="K47" s="98">
        <v>2.4942902185499501E-2</v>
      </c>
      <c r="L47" s="98">
        <v>1.0561687499999999E-3</v>
      </c>
      <c r="M47" s="98">
        <v>1.0072600125E-3</v>
      </c>
      <c r="N47" s="99">
        <v>1.9413270043386201E-2</v>
      </c>
      <c r="O47" s="97">
        <v>43</v>
      </c>
      <c r="P47" s="98">
        <v>1.2494354863555499E-3</v>
      </c>
      <c r="Q47" s="98">
        <v>1.27172261860903E-3</v>
      </c>
      <c r="R47" s="98">
        <v>2.9359107032767499E-2</v>
      </c>
      <c r="S47" s="20">
        <v>43</v>
      </c>
      <c r="T47" s="20">
        <f t="shared" si="8"/>
        <v>1978</v>
      </c>
      <c r="U47" s="112">
        <f t="shared" si="9"/>
        <v>-22.606838799388392</v>
      </c>
      <c r="V47" s="21">
        <f t="shared" si="10"/>
        <v>3.5728545248608127E-3</v>
      </c>
      <c r="W47" s="113">
        <f t="shared" si="11"/>
        <v>1.9352026053260133E-3</v>
      </c>
      <c r="X47" s="22">
        <f t="shared" si="12"/>
        <v>2.4263994200498466E-3</v>
      </c>
      <c r="Y47" s="46">
        <v>43</v>
      </c>
      <c r="Z47" s="114">
        <f t="shared" si="13"/>
        <v>19.771130737406693</v>
      </c>
      <c r="AA47" s="115">
        <f t="shared" si="14"/>
        <v>20.936380957794025</v>
      </c>
      <c r="AB47" s="116">
        <f t="shared" si="15"/>
        <v>20.57988076324726</v>
      </c>
    </row>
    <row r="48" spans="1:28" ht="15">
      <c r="A48" s="97">
        <v>44</v>
      </c>
      <c r="B48" s="98">
        <v>1.9907117999999999E-3</v>
      </c>
      <c r="C48" s="98">
        <v>2.0443698000000001E-3</v>
      </c>
      <c r="D48" s="98">
        <v>2.9015217367815E-2</v>
      </c>
      <c r="E48" s="98">
        <v>1.0694249999999999E-3</v>
      </c>
      <c r="F48" s="98">
        <v>1.09295235E-3</v>
      </c>
      <c r="G48" s="99">
        <v>2.9532959593514201E-2</v>
      </c>
      <c r="H48" s="97">
        <v>44</v>
      </c>
      <c r="I48" s="98">
        <v>1.9907117999999999E-3</v>
      </c>
      <c r="J48" s="98">
        <v>2.0443698000000001E-3</v>
      </c>
      <c r="K48" s="98">
        <v>2.4768456663793501E-2</v>
      </c>
      <c r="L48" s="98">
        <v>1.14072E-3</v>
      </c>
      <c r="M48" s="98">
        <v>1.09295235E-3</v>
      </c>
      <c r="N48" s="99">
        <v>1.8847032746965801E-2</v>
      </c>
      <c r="O48" s="97">
        <v>44</v>
      </c>
      <c r="P48" s="98">
        <v>1.3458047068789E-3</v>
      </c>
      <c r="Q48" s="98">
        <v>1.3783862812209401E-3</v>
      </c>
      <c r="R48" s="98">
        <v>2.9302354052680901E-2</v>
      </c>
      <c r="S48" s="20">
        <v>44</v>
      </c>
      <c r="T48" s="20">
        <f t="shared" si="8"/>
        <v>1979</v>
      </c>
      <c r="U48" s="112">
        <f t="shared" si="9"/>
        <v>-21.655030497608927</v>
      </c>
      <c r="V48" s="21">
        <f t="shared" si="10"/>
        <v>3.7315275483811778E-3</v>
      </c>
      <c r="W48" s="113">
        <f t="shared" si="11"/>
        <v>2.0272055361926834E-3</v>
      </c>
      <c r="X48" s="22">
        <f t="shared" si="12"/>
        <v>2.5384039055842251E-3</v>
      </c>
      <c r="Y48" s="46">
        <v>44</v>
      </c>
      <c r="Z48" s="114">
        <f t="shared" si="13"/>
        <v>19.591975244305541</v>
      </c>
      <c r="AA48" s="115">
        <f t="shared" si="14"/>
        <v>20.774038168893373</v>
      </c>
      <c r="AB48" s="116">
        <f t="shared" si="15"/>
        <v>20.412605127019059</v>
      </c>
    </row>
    <row r="49" spans="1:28" ht="15">
      <c r="A49" s="97">
        <v>45</v>
      </c>
      <c r="B49" s="98">
        <v>2.1463432500000001E-3</v>
      </c>
      <c r="C49" s="98">
        <v>2.2201007500000001E-3</v>
      </c>
      <c r="D49" s="98">
        <v>2.8965577237716599E-2</v>
      </c>
      <c r="E49" s="98">
        <v>1.1541875E-3</v>
      </c>
      <c r="F49" s="98">
        <v>1.1864656249999999E-3</v>
      </c>
      <c r="G49" s="99">
        <v>2.9469677775240601E-2</v>
      </c>
      <c r="H49" s="97">
        <v>45</v>
      </c>
      <c r="I49" s="98">
        <v>2.1463432500000001E-3</v>
      </c>
      <c r="J49" s="98">
        <v>2.2201007500000001E-3</v>
      </c>
      <c r="K49" s="98">
        <v>2.4328852975590998E-2</v>
      </c>
      <c r="L49" s="98">
        <v>1.2324375E-3</v>
      </c>
      <c r="M49" s="98">
        <v>1.1864656249999999E-3</v>
      </c>
      <c r="N49" s="99">
        <v>1.85294741410904E-2</v>
      </c>
      <c r="O49" s="97">
        <v>45</v>
      </c>
      <c r="P49" s="98">
        <v>1.4518265480508699E-3</v>
      </c>
      <c r="Q49" s="98">
        <v>1.4965699602976399E-3</v>
      </c>
      <c r="R49" s="98">
        <v>2.9245233518034399E-2</v>
      </c>
      <c r="S49" s="20">
        <v>45</v>
      </c>
      <c r="T49" s="20">
        <f t="shared" si="8"/>
        <v>1980</v>
      </c>
      <c r="U49" s="112">
        <f t="shared" si="9"/>
        <v>-20.6992194219821</v>
      </c>
      <c r="V49" s="21">
        <f t="shared" si="10"/>
        <v>3.9091908900314122E-3</v>
      </c>
      <c r="W49" s="113">
        <f t="shared" si="11"/>
        <v>2.1242014845687788E-3</v>
      </c>
      <c r="X49" s="22">
        <f t="shared" si="12"/>
        <v>2.6596005906773116E-3</v>
      </c>
      <c r="Y49" s="46">
        <v>45</v>
      </c>
      <c r="Z49" s="114">
        <f t="shared" si="13"/>
        <v>19.408076024423977</v>
      </c>
      <c r="AA49" s="115">
        <f t="shared" si="14"/>
        <v>20.606773861704628</v>
      </c>
      <c r="AB49" s="116">
        <f t="shared" si="15"/>
        <v>20.240487865548662</v>
      </c>
    </row>
    <row r="50" spans="1:28" ht="15">
      <c r="A50" s="97">
        <v>46</v>
      </c>
      <c r="B50" s="98">
        <v>2.3211715000000001E-3</v>
      </c>
      <c r="C50" s="98">
        <v>2.4188364999999999E-3</v>
      </c>
      <c r="D50" s="98">
        <v>2.8915937107618299E-2</v>
      </c>
      <c r="E50" s="98">
        <v>1.25454E-3</v>
      </c>
      <c r="F50" s="98">
        <v>1.2973673999999999E-3</v>
      </c>
      <c r="G50" s="99">
        <v>2.94063959569669E-2</v>
      </c>
      <c r="H50" s="97">
        <v>46</v>
      </c>
      <c r="I50" s="98">
        <v>2.3211715000000001E-3</v>
      </c>
      <c r="J50" s="98">
        <v>2.4188364999999999E-3</v>
      </c>
      <c r="K50" s="98">
        <v>2.3911116993900701E-2</v>
      </c>
      <c r="L50" s="98">
        <v>1.34106E-3</v>
      </c>
      <c r="M50" s="98">
        <v>1.2973673999999999E-3</v>
      </c>
      <c r="N50" s="99">
        <v>1.8466210046318099E-2</v>
      </c>
      <c r="O50" s="97">
        <v>46</v>
      </c>
      <c r="P50" s="98">
        <v>1.57452025459767E-3</v>
      </c>
      <c r="Q50" s="98">
        <v>1.63382845168795E-3</v>
      </c>
      <c r="R50" s="98">
        <v>2.9188603906362999E-2</v>
      </c>
      <c r="S50" s="20">
        <v>46</v>
      </c>
      <c r="T50" s="20">
        <f t="shared" si="8"/>
        <v>1981</v>
      </c>
      <c r="U50" s="112">
        <f t="shared" si="9"/>
        <v>-19.739555984988076</v>
      </c>
      <c r="V50" s="21">
        <f t="shared" si="10"/>
        <v>4.1076856779502626E-3</v>
      </c>
      <c r="W50" s="113">
        <f t="shared" si="11"/>
        <v>2.2417082141436766E-3</v>
      </c>
      <c r="X50" s="22">
        <f t="shared" si="12"/>
        <v>2.8014039621140161E-3</v>
      </c>
      <c r="Y50" s="46">
        <v>46</v>
      </c>
      <c r="Z50" s="114">
        <f t="shared" si="13"/>
        <v>19.219531884353923</v>
      </c>
      <c r="AA50" s="115">
        <f t="shared" si="14"/>
        <v>20.434451708829059</v>
      </c>
      <c r="AB50" s="116">
        <f t="shared" si="15"/>
        <v>20.063468192025155</v>
      </c>
    </row>
    <row r="51" spans="1:28" ht="15">
      <c r="A51" s="97">
        <v>47</v>
      </c>
      <c r="B51" s="98">
        <v>2.5121552500000002E-3</v>
      </c>
      <c r="C51" s="98">
        <v>2.6380327499999998E-3</v>
      </c>
      <c r="D51" s="98">
        <v>2.8866296977519901E-2</v>
      </c>
      <c r="E51" s="98">
        <v>1.3684987499999999E-3</v>
      </c>
      <c r="F51" s="98">
        <v>1.4239589625E-3</v>
      </c>
      <c r="G51" s="99">
        <v>2.93431141386933E-2</v>
      </c>
      <c r="H51" s="97">
        <v>47</v>
      </c>
      <c r="I51" s="98">
        <v>2.5121552500000002E-3</v>
      </c>
      <c r="J51" s="98">
        <v>2.6380327499999998E-3</v>
      </c>
      <c r="K51" s="98">
        <v>2.3493764977440101E-2</v>
      </c>
      <c r="L51" s="98">
        <v>1.4645337500000001E-3</v>
      </c>
      <c r="M51" s="98">
        <v>1.4239589625E-3</v>
      </c>
      <c r="N51" s="99">
        <v>1.8498946590386801E-2</v>
      </c>
      <c r="O51" s="97">
        <v>47</v>
      </c>
      <c r="P51" s="98">
        <v>1.7115848196425001E-3</v>
      </c>
      <c r="Q51" s="98">
        <v>1.78820964119617E-3</v>
      </c>
      <c r="R51" s="98">
        <v>2.9132275701137501E-2</v>
      </c>
      <c r="S51" s="20">
        <v>47</v>
      </c>
      <c r="T51" s="20">
        <f t="shared" si="8"/>
        <v>1982</v>
      </c>
      <c r="U51" s="112">
        <f t="shared" si="9"/>
        <v>-18.776194651359344</v>
      </c>
      <c r="V51" s="21">
        <f t="shared" si="10"/>
        <v>4.319502618210477E-3</v>
      </c>
      <c r="W51" s="113">
        <f t="shared" si="11"/>
        <v>2.3742138183524076E-3</v>
      </c>
      <c r="X51" s="22">
        <f t="shared" si="12"/>
        <v>2.9577031835291449E-3</v>
      </c>
      <c r="Y51" s="46">
        <v>47</v>
      </c>
      <c r="Z51" s="114">
        <f t="shared" si="13"/>
        <v>19.026467909461758</v>
      </c>
      <c r="AA51" s="115">
        <f t="shared" si="14"/>
        <v>20.257240599830748</v>
      </c>
      <c r="AB51" s="116">
        <f t="shared" si="15"/>
        <v>19.881703602953053</v>
      </c>
    </row>
    <row r="52" spans="1:28" ht="15">
      <c r="A52" s="97">
        <v>48</v>
      </c>
      <c r="B52" s="98">
        <v>2.7240984E-3</v>
      </c>
      <c r="C52" s="98">
        <v>2.8834023999999999E-3</v>
      </c>
      <c r="D52" s="98">
        <v>2.8816656847421501E-2</v>
      </c>
      <c r="E52" s="98">
        <v>1.4866600000000001E-3</v>
      </c>
      <c r="F52" s="98">
        <v>1.5567453999999999E-3</v>
      </c>
      <c r="G52" s="99">
        <v>2.92798323204197E-2</v>
      </c>
      <c r="H52" s="97">
        <v>48</v>
      </c>
      <c r="I52" s="98">
        <v>2.7240984E-3</v>
      </c>
      <c r="J52" s="98">
        <v>2.8834023999999999E-3</v>
      </c>
      <c r="K52" s="98">
        <v>2.3086069248479699E-2</v>
      </c>
      <c r="L52" s="98">
        <v>1.59285E-3</v>
      </c>
      <c r="M52" s="98">
        <v>1.5567453999999999E-3</v>
      </c>
      <c r="N52" s="99">
        <v>1.8648679993101599E-2</v>
      </c>
      <c r="O52" s="97">
        <v>48</v>
      </c>
      <c r="P52" s="98">
        <v>1.85787881341198E-3</v>
      </c>
      <c r="Q52" s="98">
        <v>1.95478121196633E-3</v>
      </c>
      <c r="R52" s="98">
        <v>2.9075207261565698E-2</v>
      </c>
      <c r="S52" s="20">
        <v>48</v>
      </c>
      <c r="T52" s="20">
        <f t="shared" si="8"/>
        <v>1983</v>
      </c>
      <c r="U52" s="112">
        <f t="shared" si="9"/>
        <v>-17.809293823119752</v>
      </c>
      <c r="V52" s="21">
        <f t="shared" si="10"/>
        <v>4.5509764747771646E-3</v>
      </c>
      <c r="W52" s="113">
        <f t="shared" si="11"/>
        <v>2.5042395859106409E-3</v>
      </c>
      <c r="X52" s="22">
        <f t="shared" si="12"/>
        <v>3.1181638630164324E-3</v>
      </c>
      <c r="Y52" s="46">
        <v>48</v>
      </c>
      <c r="Z52" s="114">
        <f t="shared" si="13"/>
        <v>18.828857926953617</v>
      </c>
      <c r="AA52" s="115">
        <f t="shared" si="14"/>
        <v>20.075193024508863</v>
      </c>
      <c r="AB52" s="116">
        <f t="shared" si="15"/>
        <v>19.695224374905155</v>
      </c>
    </row>
    <row r="53" spans="1:28" ht="15">
      <c r="A53" s="97">
        <v>49</v>
      </c>
      <c r="B53" s="98">
        <v>2.9607968000000002E-3</v>
      </c>
      <c r="C53" s="98">
        <v>3.1598047999999998E-3</v>
      </c>
      <c r="D53" s="98">
        <v>2.87670167173231E-2</v>
      </c>
      <c r="E53" s="98">
        <v>1.6061375000000001E-3</v>
      </c>
      <c r="F53" s="98">
        <v>1.6928689249999999E-3</v>
      </c>
      <c r="G53" s="99">
        <v>2.9216550502145999E-2</v>
      </c>
      <c r="H53" s="97">
        <v>49</v>
      </c>
      <c r="I53" s="98">
        <v>2.9607968000000002E-3</v>
      </c>
      <c r="J53" s="98">
        <v>3.1598047999999998E-3</v>
      </c>
      <c r="K53" s="98">
        <v>2.25821398705572E-2</v>
      </c>
      <c r="L53" s="98">
        <v>1.7229475E-3</v>
      </c>
      <c r="M53" s="98">
        <v>1.6928689249999999E-3</v>
      </c>
      <c r="N53" s="99">
        <v>1.90026341567773E-2</v>
      </c>
      <c r="O53" s="97">
        <v>49</v>
      </c>
      <c r="P53" s="98">
        <v>2.0125206283665999E-3</v>
      </c>
      <c r="Q53" s="98">
        <v>2.1330008242006E-3</v>
      </c>
      <c r="R53" s="98">
        <v>2.90172616230009E-2</v>
      </c>
      <c r="S53" s="20">
        <v>49</v>
      </c>
      <c r="T53" s="20">
        <f t="shared" si="8"/>
        <v>1984</v>
      </c>
      <c r="U53" s="112">
        <f t="shared" si="9"/>
        <v>-16.839015714752993</v>
      </c>
      <c r="V53" s="21">
        <f t="shared" si="10"/>
        <v>4.806007355855544E-3</v>
      </c>
      <c r="W53" s="113">
        <f t="shared" si="11"/>
        <v>2.626915072120887E-3</v>
      </c>
      <c r="X53" s="22">
        <f t="shared" si="12"/>
        <v>3.2805467640055295E-3</v>
      </c>
      <c r="Y53" s="46">
        <v>49</v>
      </c>
      <c r="Z53" s="114">
        <f t="shared" si="13"/>
        <v>18.62678229204365</v>
      </c>
      <c r="AA53" s="115">
        <f t="shared" si="14"/>
        <v>19.888005075083033</v>
      </c>
      <c r="AB53" s="116">
        <f t="shared" si="15"/>
        <v>19.503849548753998</v>
      </c>
    </row>
    <row r="54" spans="1:28" ht="15">
      <c r="A54" s="97">
        <v>50</v>
      </c>
      <c r="B54" s="98">
        <v>3.2206349999999999E-3</v>
      </c>
      <c r="C54" s="98">
        <v>3.4664850000000001E-3</v>
      </c>
      <c r="D54" s="98">
        <v>2.8717376587224699E-2</v>
      </c>
      <c r="E54" s="98">
        <v>1.7318475000000001E-3</v>
      </c>
      <c r="F54" s="98">
        <v>1.8376826250000001E-3</v>
      </c>
      <c r="G54" s="99">
        <v>2.9153268683872399E-2</v>
      </c>
      <c r="H54" s="97">
        <v>50</v>
      </c>
      <c r="I54" s="98">
        <v>3.2206349999999999E-3</v>
      </c>
      <c r="J54" s="98">
        <v>3.4664850000000001E-3</v>
      </c>
      <c r="K54" s="98">
        <v>2.18858075920151E-2</v>
      </c>
      <c r="L54" s="98">
        <v>1.8601325E-3</v>
      </c>
      <c r="M54" s="98">
        <v>1.8376826250000001E-3</v>
      </c>
      <c r="N54" s="99">
        <v>1.9119611880754301E-2</v>
      </c>
      <c r="O54" s="97">
        <v>50</v>
      </c>
      <c r="P54" s="98">
        <v>2.1784670046516002E-3</v>
      </c>
      <c r="Q54" s="98">
        <v>2.3263895496360302E-3</v>
      </c>
      <c r="R54" s="98">
        <v>2.8959065109952602E-2</v>
      </c>
      <c r="S54" s="20">
        <v>50</v>
      </c>
      <c r="T54" s="20">
        <f t="shared" si="8"/>
        <v>1985</v>
      </c>
      <c r="U54" s="112">
        <f t="shared" si="9"/>
        <v>-15.865526218640142</v>
      </c>
      <c r="V54" s="21">
        <f t="shared" si="10"/>
        <v>5.0794085937399328E-3</v>
      </c>
      <c r="W54" s="113">
        <f t="shared" si="11"/>
        <v>2.7503294552941276E-3</v>
      </c>
      <c r="X54" s="22">
        <f t="shared" si="12"/>
        <v>3.4489582444955668E-3</v>
      </c>
      <c r="Y54" s="46">
        <v>50</v>
      </c>
      <c r="Z54" s="114">
        <f t="shared" si="13"/>
        <v>18.420382075477814</v>
      </c>
      <c r="AA54" s="115">
        <f t="shared" si="14"/>
        <v>19.695263061471923</v>
      </c>
      <c r="AB54" s="116">
        <f t="shared" si="15"/>
        <v>19.307342169580124</v>
      </c>
    </row>
    <row r="55" spans="1:28" ht="15">
      <c r="A55" s="97">
        <v>51</v>
      </c>
      <c r="B55" s="98">
        <v>3.4946320499999999E-3</v>
      </c>
      <c r="C55" s="98">
        <v>3.7947175499999999E-3</v>
      </c>
      <c r="D55" s="98">
        <v>2.8667736457126301E-2</v>
      </c>
      <c r="E55" s="98">
        <v>1.85983625E-3</v>
      </c>
      <c r="F55" s="98">
        <v>1.9872174874999999E-3</v>
      </c>
      <c r="G55" s="99">
        <v>2.9089986865598799E-2</v>
      </c>
      <c r="H55" s="97">
        <v>51</v>
      </c>
      <c r="I55" s="98">
        <v>3.4946320499999999E-3</v>
      </c>
      <c r="J55" s="98">
        <v>3.7947175499999999E-3</v>
      </c>
      <c r="K55" s="98">
        <v>2.1185476683696299E-2</v>
      </c>
      <c r="L55" s="98">
        <v>2.0002012499999999E-3</v>
      </c>
      <c r="M55" s="98">
        <v>1.9872174874999999E-3</v>
      </c>
      <c r="N55" s="99">
        <v>1.92694814378922E-2</v>
      </c>
      <c r="O55" s="97">
        <v>51</v>
      </c>
      <c r="P55" s="98">
        <v>2.3502560955289999E-3</v>
      </c>
      <c r="Q55" s="98">
        <v>2.5295516326559902E-3</v>
      </c>
      <c r="R55" s="98">
        <v>2.8900765193831699E-2</v>
      </c>
      <c r="S55" s="20">
        <v>51</v>
      </c>
      <c r="T55" s="20">
        <f t="shared" si="8"/>
        <v>1986</v>
      </c>
      <c r="U55" s="112">
        <f t="shared" si="9"/>
        <v>-14.888994760949725</v>
      </c>
      <c r="V55" s="21">
        <f t="shared" si="10"/>
        <v>5.3551668922055037E-3</v>
      </c>
      <c r="W55" s="113">
        <f t="shared" si="11"/>
        <v>2.8679833241077499E-3</v>
      </c>
      <c r="X55" s="22">
        <f t="shared" si="12"/>
        <v>3.6140449888978641E-3</v>
      </c>
      <c r="Y55" s="46">
        <v>51</v>
      </c>
      <c r="Z55" s="114">
        <f t="shared" si="13"/>
        <v>18.209691823635254</v>
      </c>
      <c r="AA55" s="115">
        <f t="shared" si="14"/>
        <v>19.496695921003248</v>
      </c>
      <c r="AB55" s="116">
        <f t="shared" si="15"/>
        <v>19.105530031681557</v>
      </c>
    </row>
    <row r="56" spans="1:28" ht="15">
      <c r="A56" s="97">
        <v>52</v>
      </c>
      <c r="B56" s="98">
        <v>3.7690207999999999E-3</v>
      </c>
      <c r="C56" s="98">
        <v>4.1302687999999997E-3</v>
      </c>
      <c r="D56" s="98">
        <v>2.86180963270279E-2</v>
      </c>
      <c r="E56" s="98">
        <v>1.9847100000000002E-3</v>
      </c>
      <c r="F56" s="98">
        <v>2.1358533000000002E-3</v>
      </c>
      <c r="G56" s="99">
        <v>2.9026705047325099E-2</v>
      </c>
      <c r="H56" s="97">
        <v>52</v>
      </c>
      <c r="I56" s="98">
        <v>3.7690207999999999E-3</v>
      </c>
      <c r="J56" s="98">
        <v>4.1302687999999997E-3</v>
      </c>
      <c r="K56" s="98">
        <v>2.0722650901207399E-2</v>
      </c>
      <c r="L56" s="98">
        <v>2.1373799999999999E-3</v>
      </c>
      <c r="M56" s="98">
        <v>2.1358533000000002E-3</v>
      </c>
      <c r="N56" s="99">
        <v>1.9448596916400902E-2</v>
      </c>
      <c r="O56" s="97">
        <v>52</v>
      </c>
      <c r="P56" s="98">
        <v>2.51998222685212E-3</v>
      </c>
      <c r="Q56" s="98">
        <v>2.7342828082240599E-3</v>
      </c>
      <c r="R56" s="98">
        <v>2.8842512150594701E-2</v>
      </c>
      <c r="S56" s="20">
        <v>52</v>
      </c>
      <c r="T56" s="20">
        <f t="shared" si="8"/>
        <v>1987</v>
      </c>
      <c r="U56" s="112">
        <f t="shared" si="9"/>
        <v>-13.909594148207132</v>
      </c>
      <c r="V56" s="21">
        <f t="shared" si="10"/>
        <v>5.6118550772355242E-3</v>
      </c>
      <c r="W56" s="113">
        <f t="shared" si="11"/>
        <v>2.9719624566276687E-3</v>
      </c>
      <c r="X56" s="22">
        <f t="shared" si="12"/>
        <v>3.763839149530736E-3</v>
      </c>
      <c r="Y56" s="46">
        <v>52</v>
      </c>
      <c r="Z56" s="114">
        <f t="shared" si="13"/>
        <v>17.994442740588756</v>
      </c>
      <c r="AA56" s="115">
        <f t="shared" si="14"/>
        <v>19.291892584064957</v>
      </c>
      <c r="AB56" s="116">
        <f t="shared" si="15"/>
        <v>18.898049634530437</v>
      </c>
    </row>
    <row r="57" spans="1:28" ht="15">
      <c r="A57" s="97">
        <v>53</v>
      </c>
      <c r="B57" s="98">
        <v>4.0341266499999999E-3</v>
      </c>
      <c r="C57" s="98">
        <v>4.4629381499999999E-3</v>
      </c>
      <c r="D57" s="98">
        <v>2.85684561969296E-2</v>
      </c>
      <c r="E57" s="98">
        <v>2.1010725E-3</v>
      </c>
      <c r="F57" s="98">
        <v>2.2778097749999999E-3</v>
      </c>
      <c r="G57" s="99">
        <v>2.8963423229051499E-2</v>
      </c>
      <c r="H57" s="97">
        <v>53</v>
      </c>
      <c r="I57" s="98">
        <v>4.0341266499999999E-3</v>
      </c>
      <c r="J57" s="98">
        <v>4.4629381499999999E-3</v>
      </c>
      <c r="K57" s="98">
        <v>2.0521699247899001E-2</v>
      </c>
      <c r="L57" s="98">
        <v>2.2658625000000002E-3</v>
      </c>
      <c r="M57" s="98">
        <v>2.2778097749999999E-3</v>
      </c>
      <c r="N57" s="99">
        <v>1.9568813712984402E-2</v>
      </c>
      <c r="O57" s="97">
        <v>53</v>
      </c>
      <c r="P57" s="98">
        <v>2.6809657365623601E-3</v>
      </c>
      <c r="Q57" s="98">
        <v>2.9334765561513801E-3</v>
      </c>
      <c r="R57" s="98">
        <v>2.8784294281809699E-2</v>
      </c>
      <c r="S57" s="20">
        <v>53</v>
      </c>
      <c r="T57" s="20">
        <f t="shared" si="8"/>
        <v>1988</v>
      </c>
      <c r="U57" s="112">
        <f t="shared" si="9"/>
        <v>-12.927500404814307</v>
      </c>
      <c r="V57" s="21">
        <f t="shared" si="10"/>
        <v>5.8363672889330488E-3</v>
      </c>
      <c r="W57" s="113">
        <f t="shared" si="11"/>
        <v>3.0552841329161296E-3</v>
      </c>
      <c r="X57" s="22">
        <f t="shared" si="12"/>
        <v>3.8895211604612913E-3</v>
      </c>
      <c r="Y57" s="46">
        <v>53</v>
      </c>
      <c r="Z57" s="114">
        <f t="shared" si="13"/>
        <v>17.773965368005356</v>
      </c>
      <c r="AA57" s="115">
        <f t="shared" si="14"/>
        <v>19.080274145851188</v>
      </c>
      <c r="AB57" s="116">
        <f t="shared" si="15"/>
        <v>18.684296305828969</v>
      </c>
    </row>
    <row r="58" spans="1:28" ht="15">
      <c r="A58" s="97">
        <v>54</v>
      </c>
      <c r="B58" s="98">
        <v>4.2847883999999996E-3</v>
      </c>
      <c r="C58" s="98">
        <v>4.7871924000000001E-3</v>
      </c>
      <c r="D58" s="98">
        <v>2.8518816066831199E-2</v>
      </c>
      <c r="E58" s="98">
        <v>2.2094375E-3</v>
      </c>
      <c r="F58" s="98">
        <v>2.4135895249999999E-3</v>
      </c>
      <c r="G58" s="99">
        <v>2.8900141410777899E-2</v>
      </c>
      <c r="H58" s="97">
        <v>54</v>
      </c>
      <c r="I58" s="98">
        <v>4.2847883999999996E-3</v>
      </c>
      <c r="J58" s="98">
        <v>4.7871924000000001E-3</v>
      </c>
      <c r="K58" s="98">
        <v>2.0627421133912902E-2</v>
      </c>
      <c r="L58" s="98">
        <v>2.3861924999999998E-3</v>
      </c>
      <c r="M58" s="98">
        <v>2.4135895249999999E-3</v>
      </c>
      <c r="N58" s="99">
        <v>1.9907426070419901E-2</v>
      </c>
      <c r="O58" s="97">
        <v>54</v>
      </c>
      <c r="P58" s="98">
        <v>2.83201794216608E-3</v>
      </c>
      <c r="Q58" s="98">
        <v>3.12582469647972E-3</v>
      </c>
      <c r="R58" s="98">
        <v>2.8726248288867998E-2</v>
      </c>
      <c r="S58" s="20">
        <v>54</v>
      </c>
      <c r="T58" s="20">
        <f t="shared" si="8"/>
        <v>1989</v>
      </c>
      <c r="U58" s="112">
        <f t="shared" si="9"/>
        <v>-11.942892601833845</v>
      </c>
      <c r="V58" s="21">
        <f t="shared" si="10"/>
        <v>6.0234990420207548E-3</v>
      </c>
      <c r="W58" s="113">
        <f t="shared" si="11"/>
        <v>3.1201754783245763E-3</v>
      </c>
      <c r="X58" s="22">
        <f t="shared" si="12"/>
        <v>3.9910885350231641E-3</v>
      </c>
      <c r="Y58" s="46">
        <v>54</v>
      </c>
      <c r="Z58" s="114">
        <f t="shared" si="13"/>
        <v>17.547336684559227</v>
      </c>
      <c r="AA58" s="115">
        <f t="shared" si="14"/>
        <v>18.861111165357922</v>
      </c>
      <c r="AB58" s="116">
        <f t="shared" si="15"/>
        <v>18.463482263019948</v>
      </c>
    </row>
    <row r="59" spans="1:28" ht="15">
      <c r="A59" s="97">
        <v>55</v>
      </c>
      <c r="B59" s="98">
        <v>4.5206077499999999E-3</v>
      </c>
      <c r="C59" s="98">
        <v>5.1026602500000001E-3</v>
      </c>
      <c r="D59" s="98">
        <v>2.8469175936732798E-2</v>
      </c>
      <c r="E59" s="98">
        <v>2.31329E-3</v>
      </c>
      <c r="F59" s="98">
        <v>2.5469795000000002E-3</v>
      </c>
      <c r="G59" s="99">
        <v>2.8836859592504299E-2</v>
      </c>
      <c r="H59" s="97">
        <v>55</v>
      </c>
      <c r="I59" s="98">
        <v>4.5206077499999999E-3</v>
      </c>
      <c r="J59" s="98">
        <v>5.1026602500000001E-3</v>
      </c>
      <c r="K59" s="98">
        <v>2.0889540594586399E-2</v>
      </c>
      <c r="L59" s="98">
        <v>2.50213E-3</v>
      </c>
      <c r="M59" s="98">
        <v>2.5469795000000002E-3</v>
      </c>
      <c r="N59" s="99">
        <v>2.0537702321766101E-2</v>
      </c>
      <c r="O59" s="97">
        <v>55</v>
      </c>
      <c r="P59" s="98">
        <v>2.97545887198214E-3</v>
      </c>
      <c r="Q59" s="98">
        <v>3.3138667986670899E-3</v>
      </c>
      <c r="R59" s="98">
        <v>2.8668486434755801E-2</v>
      </c>
      <c r="S59" s="20">
        <v>55</v>
      </c>
      <c r="T59" s="20">
        <f t="shared" si="8"/>
        <v>1990</v>
      </c>
      <c r="U59" s="112">
        <f t="shared" si="9"/>
        <v>-10.955952677394434</v>
      </c>
      <c r="V59" s="21">
        <f t="shared" si="10"/>
        <v>6.1752748219172466E-3</v>
      </c>
      <c r="W59" s="113">
        <f t="shared" si="11"/>
        <v>3.1727731708006222E-3</v>
      </c>
      <c r="X59" s="22">
        <f t="shared" si="12"/>
        <v>4.0734440701276353E-3</v>
      </c>
      <c r="Y59" s="46">
        <v>55</v>
      </c>
      <c r="Z59" s="114">
        <f t="shared" si="13"/>
        <v>17.313518111701438</v>
      </c>
      <c r="AA59" s="115">
        <f t="shared" si="14"/>
        <v>18.633696013343631</v>
      </c>
      <c r="AB59" s="116">
        <f t="shared" si="15"/>
        <v>18.234798247765866</v>
      </c>
    </row>
    <row r="60" spans="1:28" ht="15">
      <c r="A60" s="97">
        <v>56</v>
      </c>
      <c r="B60" s="98">
        <v>4.7466623999999997E-3</v>
      </c>
      <c r="C60" s="98">
        <v>5.4152063999999998E-3</v>
      </c>
      <c r="D60" s="98">
        <v>2.8419535806634401E-2</v>
      </c>
      <c r="E60" s="98">
        <v>2.4147000000000001E-3</v>
      </c>
      <c r="F60" s="98">
        <v>2.6803170000000002E-3</v>
      </c>
      <c r="G60" s="99">
        <v>2.8773577774230601E-2</v>
      </c>
      <c r="H60" s="97">
        <v>56</v>
      </c>
      <c r="I60" s="98">
        <v>4.7466623999999997E-3</v>
      </c>
      <c r="J60" s="98">
        <v>5.4152063999999998E-3</v>
      </c>
      <c r="K60" s="98">
        <v>2.1231016499070901E-2</v>
      </c>
      <c r="L60" s="98">
        <v>2.6159249999999998E-3</v>
      </c>
      <c r="M60" s="98">
        <v>2.6803170000000002E-3</v>
      </c>
      <c r="N60" s="99">
        <v>2.1289074026242201E-2</v>
      </c>
      <c r="O60" s="97">
        <v>56</v>
      </c>
      <c r="P60" s="98">
        <v>3.11426083881547E-3</v>
      </c>
      <c r="Q60" s="98">
        <v>3.5009985780440102E-3</v>
      </c>
      <c r="R60" s="98">
        <v>2.8610932574084501E-2</v>
      </c>
      <c r="S60" s="20">
        <v>56</v>
      </c>
      <c r="T60" s="20">
        <f t="shared" si="8"/>
        <v>1991</v>
      </c>
      <c r="U60" s="112">
        <f t="shared" si="9"/>
        <v>-9.9668652491162035</v>
      </c>
      <c r="V60" s="21">
        <f t="shared" si="10"/>
        <v>6.3009184108082962E-3</v>
      </c>
      <c r="W60" s="113">
        <f t="shared" si="11"/>
        <v>3.2167046284260741E-3</v>
      </c>
      <c r="X60" s="22">
        <f t="shared" si="12"/>
        <v>4.1418938825554695E-3</v>
      </c>
      <c r="Y60" s="46">
        <v>56</v>
      </c>
      <c r="Z60" s="114">
        <f t="shared" si="13"/>
        <v>17.071479916269301</v>
      </c>
      <c r="AA60" s="115">
        <f t="shared" si="14"/>
        <v>18.397414677578492</v>
      </c>
      <c r="AB60" s="116">
        <f t="shared" si="15"/>
        <v>17.997501995457007</v>
      </c>
    </row>
    <row r="61" spans="1:28" ht="15">
      <c r="A61" s="97">
        <v>57</v>
      </c>
      <c r="B61" s="98">
        <v>4.96738575E-3</v>
      </c>
      <c r="C61" s="98">
        <v>5.7302182500000003E-3</v>
      </c>
      <c r="D61" s="98">
        <v>2.8369895676536E-2</v>
      </c>
      <c r="E61" s="98">
        <v>2.5109162500000001E-3</v>
      </c>
      <c r="F61" s="98">
        <v>2.8106234874999999E-3</v>
      </c>
      <c r="G61" s="99">
        <v>2.8710295955957001E-2</v>
      </c>
      <c r="H61" s="97">
        <v>57</v>
      </c>
      <c r="I61" s="98">
        <v>4.96738575E-3</v>
      </c>
      <c r="J61" s="98">
        <v>5.7302182500000003E-3</v>
      </c>
      <c r="K61" s="98">
        <v>2.1409886299971301E-2</v>
      </c>
      <c r="L61" s="98">
        <v>2.7246112499999999E-3</v>
      </c>
      <c r="M61" s="98">
        <v>2.8106234874999999E-3</v>
      </c>
      <c r="N61" s="99">
        <v>2.21306207580266E-2</v>
      </c>
      <c r="O61" s="97">
        <v>57</v>
      </c>
      <c r="P61" s="98">
        <v>3.2478280140400499E-3</v>
      </c>
      <c r="Q61" s="98">
        <v>3.6867512947779601E-3</v>
      </c>
      <c r="R61" s="98">
        <v>2.8553379463060701E-2</v>
      </c>
      <c r="S61" s="20">
        <v>57</v>
      </c>
      <c r="T61" s="20">
        <f t="shared" si="8"/>
        <v>1992</v>
      </c>
      <c r="U61" s="112">
        <f t="shared" si="9"/>
        <v>-8.975817418995053</v>
      </c>
      <c r="V61" s="21">
        <f t="shared" si="10"/>
        <v>6.4079326503840841E-3</v>
      </c>
      <c r="W61" s="113">
        <f t="shared" si="11"/>
        <v>3.2489962449136147E-3</v>
      </c>
      <c r="X61" s="22">
        <f t="shared" si="12"/>
        <v>4.1966072041934466E-3</v>
      </c>
      <c r="Y61" s="46">
        <v>57</v>
      </c>
      <c r="Z61" s="114">
        <f t="shared" si="13"/>
        <v>16.820322593223452</v>
      </c>
      <c r="AA61" s="115">
        <f t="shared" si="14"/>
        <v>18.151699921833998</v>
      </c>
      <c r="AB61" s="116">
        <f t="shared" si="15"/>
        <v>17.750924520958353</v>
      </c>
    </row>
    <row r="62" spans="1:28" ht="15">
      <c r="A62" s="97">
        <v>58</v>
      </c>
      <c r="B62" s="98">
        <v>5.1872282000000004E-3</v>
      </c>
      <c r="C62" s="98">
        <v>6.0533701999999998E-3</v>
      </c>
      <c r="D62" s="98">
        <v>2.8320255546437599E-2</v>
      </c>
      <c r="E62" s="98">
        <v>2.604865E-3</v>
      </c>
      <c r="F62" s="98">
        <v>2.9412323500000001E-3</v>
      </c>
      <c r="G62" s="99">
        <v>2.8647014137683401E-2</v>
      </c>
      <c r="H62" s="97">
        <v>58</v>
      </c>
      <c r="I62" s="98">
        <v>5.1872282000000004E-3</v>
      </c>
      <c r="J62" s="98">
        <v>6.0533701999999998E-3</v>
      </c>
      <c r="K62" s="98">
        <v>2.1572785431630902E-2</v>
      </c>
      <c r="L62" s="98">
        <v>2.8313750000000001E-3</v>
      </c>
      <c r="M62" s="98">
        <v>2.9412323500000001E-3</v>
      </c>
      <c r="N62" s="99">
        <v>2.3149926174543398E-2</v>
      </c>
      <c r="O62" s="97">
        <v>58</v>
      </c>
      <c r="P62" s="98">
        <v>3.3795438856002199E-3</v>
      </c>
      <c r="Q62" s="98">
        <v>3.8751609074819402E-3</v>
      </c>
      <c r="R62" s="98">
        <v>2.8495855723690702E-2</v>
      </c>
      <c r="S62" s="20">
        <v>58</v>
      </c>
      <c r="T62" s="20">
        <f t="shared" si="8"/>
        <v>1993</v>
      </c>
      <c r="U62" s="112">
        <f t="shared" si="9"/>
        <v>-7.9829985712237317</v>
      </c>
      <c r="V62" s="21">
        <f t="shared" si="10"/>
        <v>6.5031069081197953E-3</v>
      </c>
      <c r="W62" s="113">
        <f t="shared" si="11"/>
        <v>3.2741880784590977E-3</v>
      </c>
      <c r="X62" s="22">
        <f t="shared" si="12"/>
        <v>4.2427987364059691E-3</v>
      </c>
      <c r="Y62" s="46">
        <v>58</v>
      </c>
      <c r="Z62" s="114">
        <f t="shared" si="13"/>
        <v>16.559246030255409</v>
      </c>
      <c r="AA62" s="115">
        <f t="shared" si="14"/>
        <v>17.89591166851768</v>
      </c>
      <c r="AB62" s="116">
        <f t="shared" si="15"/>
        <v>17.4943785367971</v>
      </c>
    </row>
    <row r="63" spans="1:28" ht="15">
      <c r="A63" s="97">
        <v>59</v>
      </c>
      <c r="B63" s="98">
        <v>5.4156723000000004E-3</v>
      </c>
      <c r="C63" s="98">
        <v>6.3965853000000003E-3</v>
      </c>
      <c r="D63" s="98">
        <v>2.8270615416339202E-2</v>
      </c>
      <c r="E63" s="98">
        <v>2.7066937500000001E-3</v>
      </c>
      <c r="F63" s="98">
        <v>3.0838264124999999E-3</v>
      </c>
      <c r="G63" s="99">
        <v>2.8583732319409701E-2</v>
      </c>
      <c r="H63" s="97">
        <v>59</v>
      </c>
      <c r="I63" s="98">
        <v>5.4156723000000004E-3</v>
      </c>
      <c r="J63" s="98">
        <v>6.3965853000000003E-3</v>
      </c>
      <c r="K63" s="98">
        <v>2.1741884104178901E-2</v>
      </c>
      <c r="L63" s="98">
        <v>2.9472887500000002E-3</v>
      </c>
      <c r="M63" s="98">
        <v>3.0838264124999999E-3</v>
      </c>
      <c r="N63" s="99">
        <v>2.4114367344158401E-2</v>
      </c>
      <c r="O63" s="97">
        <v>59</v>
      </c>
      <c r="P63" s="98">
        <v>3.5193564051393999E-3</v>
      </c>
      <c r="Q63" s="98">
        <v>4.07798322507473E-3</v>
      </c>
      <c r="R63" s="98">
        <v>2.84385200158951E-2</v>
      </c>
      <c r="S63" s="20">
        <v>59</v>
      </c>
      <c r="T63" s="20">
        <f t="shared" si="8"/>
        <v>1994</v>
      </c>
      <c r="U63" s="112">
        <f t="shared" si="9"/>
        <v>-6.9886001634642509</v>
      </c>
      <c r="V63" s="21">
        <f t="shared" si="10"/>
        <v>6.5986762147418679E-3</v>
      </c>
      <c r="W63" s="113">
        <f t="shared" si="11"/>
        <v>3.3051707891945592E-3</v>
      </c>
      <c r="X63" s="22">
        <f t="shared" si="12"/>
        <v>4.2931622348190823E-3</v>
      </c>
      <c r="Y63" s="46">
        <v>59</v>
      </c>
      <c r="Z63" s="114">
        <f t="shared" si="13"/>
        <v>16.287535455804516</v>
      </c>
      <c r="AA63" s="115">
        <f t="shared" si="14"/>
        <v>17.629470336864902</v>
      </c>
      <c r="AB63" s="116">
        <f t="shared" si="15"/>
        <v>17.227245413340462</v>
      </c>
    </row>
    <row r="64" spans="1:28" ht="15">
      <c r="A64" s="97">
        <v>60</v>
      </c>
      <c r="B64" s="98">
        <v>5.668803E-3</v>
      </c>
      <c r="C64" s="98">
        <v>6.7803330000000004E-3</v>
      </c>
      <c r="D64" s="98">
        <v>2.8220975286240901E-2</v>
      </c>
      <c r="E64" s="98">
        <v>2.8282649999999999E-3</v>
      </c>
      <c r="F64" s="98">
        <v>3.2525047499999999E-3</v>
      </c>
      <c r="G64" s="99">
        <v>2.8520450501136101E-2</v>
      </c>
      <c r="H64" s="97">
        <v>60</v>
      </c>
      <c r="I64" s="98">
        <v>5.668803E-3</v>
      </c>
      <c r="J64" s="98">
        <v>6.7803330000000004E-3</v>
      </c>
      <c r="K64" s="98">
        <v>2.1741418915356601E-2</v>
      </c>
      <c r="L64" s="98">
        <v>3.08538E-3</v>
      </c>
      <c r="M64" s="98">
        <v>3.2525047499999999E-3</v>
      </c>
      <c r="N64" s="99">
        <v>2.48423807900678E-2</v>
      </c>
      <c r="O64" s="97">
        <v>60</v>
      </c>
      <c r="P64" s="98">
        <v>3.6803947185391002E-3</v>
      </c>
      <c r="Q64" s="98">
        <v>4.3112299955034702E-3</v>
      </c>
      <c r="R64" s="98">
        <v>2.8381441805664001E-2</v>
      </c>
      <c r="S64" s="20">
        <v>60</v>
      </c>
      <c r="T64" s="20">
        <f t="shared" si="8"/>
        <v>1995</v>
      </c>
      <c r="U64" s="112">
        <f t="shared" si="9"/>
        <v>-5.9928155121207878</v>
      </c>
      <c r="V64" s="21">
        <f t="shared" si="10"/>
        <v>6.7133701505742195E-3</v>
      </c>
      <c r="W64" s="113">
        <f t="shared" si="11"/>
        <v>3.3554344241146388E-3</v>
      </c>
      <c r="X64" s="22">
        <f t="shared" si="12"/>
        <v>4.3627594197716835E-3</v>
      </c>
      <c r="Y64" s="46">
        <v>60</v>
      </c>
      <c r="Z64" s="114">
        <f t="shared" si="13"/>
        <v>16.004646353253264</v>
      </c>
      <c r="AA64" s="115">
        <f t="shared" si="14"/>
        <v>17.352000475445031</v>
      </c>
      <c r="AB64" s="116">
        <f t="shared" si="15"/>
        <v>16.949100467917098</v>
      </c>
    </row>
    <row r="65" spans="1:28" ht="15">
      <c r="A65" s="97">
        <v>61</v>
      </c>
      <c r="B65" s="98">
        <v>6.1398006774999996E-3</v>
      </c>
      <c r="C65" s="98">
        <v>7.3422087025000003E-3</v>
      </c>
      <c r="D65" s="98">
        <v>2.81713351561425E-2</v>
      </c>
      <c r="E65" s="98">
        <v>3.0447061562499998E-3</v>
      </c>
      <c r="F65" s="98">
        <v>3.5008933609375001E-3</v>
      </c>
      <c r="G65" s="99">
        <v>2.8457168682862501E-2</v>
      </c>
      <c r="H65" s="97">
        <v>61</v>
      </c>
      <c r="I65" s="98">
        <v>6.1398006774999996E-3</v>
      </c>
      <c r="J65" s="98">
        <v>7.3422087025000003E-3</v>
      </c>
      <c r="K65" s="98">
        <v>2.1704257007415299E-2</v>
      </c>
      <c r="L65" s="98">
        <v>3.32118325E-3</v>
      </c>
      <c r="M65" s="98">
        <v>3.5008933609375001E-3</v>
      </c>
      <c r="N65" s="99">
        <v>2.5272905350264101E-2</v>
      </c>
      <c r="O65" s="97">
        <v>61</v>
      </c>
      <c r="P65" s="98">
        <v>3.9716526062972303E-3</v>
      </c>
      <c r="Q65" s="98">
        <v>4.6515960902583304E-3</v>
      </c>
      <c r="R65" s="98">
        <v>2.83181060013084E-2</v>
      </c>
      <c r="S65" s="20">
        <v>61</v>
      </c>
      <c r="T65" s="20">
        <f t="shared" si="8"/>
        <v>1996</v>
      </c>
      <c r="U65" s="112">
        <f t="shared" si="9"/>
        <v>-4.9958395721942761</v>
      </c>
      <c r="V65" s="21">
        <f t="shared" si="10"/>
        <v>7.0676762590979238E-3</v>
      </c>
      <c r="W65" s="113">
        <f t="shared" si="11"/>
        <v>3.5098448896321737E-3</v>
      </c>
      <c r="X65" s="22">
        <f t="shared" si="12"/>
        <v>4.5752209666328645E-3</v>
      </c>
      <c r="Y65" s="46">
        <v>61</v>
      </c>
      <c r="Z65" s="114">
        <f t="shared" si="13"/>
        <v>15.71030127501964</v>
      </c>
      <c r="AA65" s="115">
        <f t="shared" si="14"/>
        <v>17.063335397445638</v>
      </c>
      <c r="AB65" s="116">
        <f t="shared" si="15"/>
        <v>16.659746954590936</v>
      </c>
    </row>
    <row r="66" spans="1:28" ht="15">
      <c r="A66" s="97">
        <v>62</v>
      </c>
      <c r="B66" s="98">
        <v>6.7003193400000001E-3</v>
      </c>
      <c r="C66" s="98">
        <v>8.0076827400000009E-3</v>
      </c>
      <c r="D66" s="98">
        <v>2.81216950260441E-2</v>
      </c>
      <c r="E66" s="98">
        <v>3.3049863999999999E-3</v>
      </c>
      <c r="F66" s="98">
        <v>3.7984855599999998E-3</v>
      </c>
      <c r="G66" s="99">
        <v>2.8393886864588901E-2</v>
      </c>
      <c r="H66" s="97">
        <v>62</v>
      </c>
      <c r="I66" s="98">
        <v>6.7003193400000001E-3</v>
      </c>
      <c r="J66" s="98">
        <v>8.0076827400000009E-3</v>
      </c>
      <c r="K66" s="98">
        <v>2.1600195171231101E-2</v>
      </c>
      <c r="L66" s="98">
        <v>3.6040768000000002E-3</v>
      </c>
      <c r="M66" s="98">
        <v>3.7984855599999998E-3</v>
      </c>
      <c r="N66" s="99">
        <v>2.5393886864588801E-2</v>
      </c>
      <c r="O66" s="97">
        <v>62</v>
      </c>
      <c r="P66" s="98">
        <v>4.3199951784926799E-3</v>
      </c>
      <c r="Q66" s="98">
        <v>5.0568811624494602E-3</v>
      </c>
      <c r="R66" s="98">
        <v>2.8254355489708099E-2</v>
      </c>
      <c r="S66" s="20">
        <v>62</v>
      </c>
      <c r="T66" s="20">
        <f t="shared" si="8"/>
        <v>1997</v>
      </c>
      <c r="U66" s="112">
        <f t="shared" si="9"/>
        <v>-3.9978687123290042</v>
      </c>
      <c r="V66" s="21">
        <f t="shared" si="10"/>
        <v>7.4975929769908588E-3</v>
      </c>
      <c r="W66" s="113">
        <f t="shared" si="11"/>
        <v>3.7022746100472937E-3</v>
      </c>
      <c r="X66" s="22">
        <f t="shared" si="12"/>
        <v>4.8365975595953742E-3</v>
      </c>
      <c r="Y66" s="46">
        <v>62</v>
      </c>
      <c r="Z66" s="114">
        <f t="shared" si="13"/>
        <v>15.407609320625266</v>
      </c>
      <c r="AA66" s="115">
        <f t="shared" si="14"/>
        <v>16.764710346278513</v>
      </c>
      <c r="AB66" s="116">
        <f t="shared" si="15"/>
        <v>16.360991986345418</v>
      </c>
    </row>
    <row r="67" spans="1:28" ht="15">
      <c r="A67" s="97">
        <v>63</v>
      </c>
      <c r="B67" s="98">
        <v>7.3671792487500004E-3</v>
      </c>
      <c r="C67" s="98">
        <v>8.7958773612499992E-3</v>
      </c>
      <c r="D67" s="98">
        <v>2.8072054895945699E-2</v>
      </c>
      <c r="E67" s="98">
        <v>3.6210135468749999E-3</v>
      </c>
      <c r="F67" s="98">
        <v>4.1586360632812503E-3</v>
      </c>
      <c r="G67" s="99">
        <v>2.8392839210647801E-2</v>
      </c>
      <c r="H67" s="97">
        <v>63</v>
      </c>
      <c r="I67" s="98">
        <v>7.3671792487500004E-3</v>
      </c>
      <c r="J67" s="98">
        <v>8.7958773612499992E-3</v>
      </c>
      <c r="K67" s="98">
        <v>2.1580515005785401E-2</v>
      </c>
      <c r="L67" s="98">
        <v>3.9468453749999998E-3</v>
      </c>
      <c r="M67" s="98">
        <v>4.1586360632812503E-3</v>
      </c>
      <c r="N67" s="99">
        <v>2.5392839210647802E-2</v>
      </c>
      <c r="O67" s="97">
        <v>63</v>
      </c>
      <c r="P67" s="98">
        <v>4.7386232429923901E-3</v>
      </c>
      <c r="Q67" s="98">
        <v>5.5420569856421097E-3</v>
      </c>
      <c r="R67" s="98">
        <v>2.8223193626778598E-2</v>
      </c>
      <c r="S67" s="20">
        <v>63</v>
      </c>
      <c r="T67" s="20">
        <f t="shared" si="8"/>
        <v>1998</v>
      </c>
      <c r="U67" s="112">
        <f t="shared" si="9"/>
        <v>-2.9991004856877899</v>
      </c>
      <c r="V67" s="21">
        <f t="shared" si="10"/>
        <v>8.0142869061107548E-3</v>
      </c>
      <c r="W67" s="113">
        <f t="shared" si="11"/>
        <v>3.942862371769747E-3</v>
      </c>
      <c r="X67" s="22">
        <f t="shared" si="12"/>
        <v>5.1571847120758796E-3</v>
      </c>
      <c r="Y67" s="46">
        <v>63</v>
      </c>
      <c r="Z67" s="114">
        <f t="shared" si="13"/>
        <v>15.097105646720014</v>
      </c>
      <c r="AA67" s="115">
        <f t="shared" si="14"/>
        <v>16.4562242212412</v>
      </c>
      <c r="AB67" s="116">
        <f t="shared" si="15"/>
        <v>16.053073923963886</v>
      </c>
    </row>
    <row r="68" spans="1:28" ht="15">
      <c r="A68" s="97">
        <v>64</v>
      </c>
      <c r="B68" s="98">
        <v>8.1462843899999995E-3</v>
      </c>
      <c r="C68" s="98">
        <v>9.7125732900000001E-3</v>
      </c>
      <c r="D68" s="98">
        <v>2.8022414765847301E-2</v>
      </c>
      <c r="E68" s="98">
        <v>3.9996084999999997E-3</v>
      </c>
      <c r="F68" s="98">
        <v>4.5887302750000003E-3</v>
      </c>
      <c r="G68" s="99">
        <v>2.8467317274696199E-2</v>
      </c>
      <c r="H68" s="97">
        <v>64</v>
      </c>
      <c r="I68" s="98">
        <v>8.1462843899999995E-3</v>
      </c>
      <c r="J68" s="98">
        <v>9.7125732900000001E-3</v>
      </c>
      <c r="K68" s="98">
        <v>2.1492527709979899E-2</v>
      </c>
      <c r="L68" s="98">
        <v>4.3566519999999999E-3</v>
      </c>
      <c r="M68" s="98">
        <v>4.5887302750000003E-3</v>
      </c>
      <c r="N68" s="99">
        <v>2.5467317274696099E-2</v>
      </c>
      <c r="O68" s="97">
        <v>64</v>
      </c>
      <c r="P68" s="98">
        <v>5.2338536140489004E-3</v>
      </c>
      <c r="Q68" s="98">
        <v>6.1138058213889698E-3</v>
      </c>
      <c r="R68" s="98">
        <v>2.82314346099036E-2</v>
      </c>
      <c r="S68" s="20">
        <v>64</v>
      </c>
      <c r="T68" s="20">
        <f t="shared" ref="T68:T99" si="16">$V$1+S68</f>
        <v>1999</v>
      </c>
      <c r="U68" s="112">
        <f t="shared" ref="U68:U99" si="17">100*ATAN((T68-2001)/100)</f>
        <v>-1.9997333973150535</v>
      </c>
      <c r="V68" s="21">
        <f t="shared" ref="V68:V99" si="18">B68*EXP(-D68*$U68)</f>
        <v>8.6158133713318992E-3</v>
      </c>
      <c r="W68" s="113">
        <f t="shared" ref="W68:W99" si="19">E68*EXP(-G68*$U68)</f>
        <v>4.2338998827635647E-3</v>
      </c>
      <c r="X68" s="22">
        <f t="shared" ref="X68:X99" si="20">P68*EXP(-R68*$U68)</f>
        <v>5.5378324965116065E-3</v>
      </c>
      <c r="Y68" s="46">
        <v>64</v>
      </c>
      <c r="Z68" s="114">
        <f t="shared" ref="Z68:Z99" si="21">1+(1-V68)*$AB$1*Z69</f>
        <v>14.779436517147888</v>
      </c>
      <c r="AA68" s="115">
        <f t="shared" ref="AA68:AA99" si="22">1+(1-W68)*$AB$1*AA69</f>
        <v>16.138103511176794</v>
      </c>
      <c r="AB68" s="116">
        <f t="shared" ref="AB68:AB99" si="23">1+(1-X68)*$AB$1*AB69</f>
        <v>15.736352155683576</v>
      </c>
    </row>
    <row r="69" spans="1:28" ht="15">
      <c r="A69" s="97">
        <v>65</v>
      </c>
      <c r="B69" s="98">
        <v>9.0334639218750002E-3</v>
      </c>
      <c r="C69" s="98">
        <v>1.0751267203125E-2</v>
      </c>
      <c r="D69" s="98">
        <v>2.79727746357489E-2</v>
      </c>
      <c r="E69" s="98">
        <v>4.4462234374999998E-3</v>
      </c>
      <c r="F69" s="98">
        <v>5.0944491406250004E-3</v>
      </c>
      <c r="G69" s="99">
        <v>2.86199646461112E-2</v>
      </c>
      <c r="H69" s="97">
        <v>65</v>
      </c>
      <c r="I69" s="98">
        <v>9.0334639218750002E-3</v>
      </c>
      <c r="J69" s="98">
        <v>1.0751267203125E-2</v>
      </c>
      <c r="K69" s="98">
        <v>2.15314620076444E-2</v>
      </c>
      <c r="L69" s="98">
        <v>4.8390875000000003E-3</v>
      </c>
      <c r="M69" s="98">
        <v>5.0944491406250004E-3</v>
      </c>
      <c r="N69" s="99">
        <v>2.5619964646111201E-2</v>
      </c>
      <c r="O69" s="97">
        <v>65</v>
      </c>
      <c r="P69" s="98">
        <v>5.8079657917056099E-3</v>
      </c>
      <c r="Q69" s="98">
        <v>6.7738649890187099E-3</v>
      </c>
      <c r="R69" s="98">
        <v>2.8280371170259201E-2</v>
      </c>
      <c r="S69" s="20">
        <v>65</v>
      </c>
      <c r="T69" s="20">
        <f t="shared" si="16"/>
        <v>2000</v>
      </c>
      <c r="U69" s="112">
        <f t="shared" si="17"/>
        <v>-0.99996666866652373</v>
      </c>
      <c r="V69" s="21">
        <f t="shared" si="18"/>
        <v>9.2897137316607387E-3</v>
      </c>
      <c r="W69" s="113">
        <f t="shared" si="19"/>
        <v>4.5753082835130673E-3</v>
      </c>
      <c r="X69" s="22">
        <f t="shared" si="20"/>
        <v>5.9745561837894765E-3</v>
      </c>
      <c r="Y69" s="46">
        <v>65</v>
      </c>
      <c r="Z69" s="114">
        <f t="shared" si="21"/>
        <v>14.45515691204127</v>
      </c>
      <c r="AA69" s="115">
        <f t="shared" si="22"/>
        <v>15.810568013683428</v>
      </c>
      <c r="AB69" s="116">
        <f t="shared" si="23"/>
        <v>15.411150612581913</v>
      </c>
    </row>
    <row r="70" spans="1:28" ht="15">
      <c r="A70" s="97">
        <v>66</v>
      </c>
      <c r="B70" s="98">
        <v>1.00283244825E-2</v>
      </c>
      <c r="C70" s="98">
        <v>1.1909748057500001E-2</v>
      </c>
      <c r="D70" s="98">
        <v>2.7923134505650499E-2</v>
      </c>
      <c r="E70" s="98">
        <v>4.9733498749999997E-3</v>
      </c>
      <c r="F70" s="98">
        <v>5.6893857312499997E-3</v>
      </c>
      <c r="G70" s="99">
        <v>2.8703074932441199E-2</v>
      </c>
      <c r="H70" s="97">
        <v>66</v>
      </c>
      <c r="I70" s="98">
        <v>1.00283244825E-2</v>
      </c>
      <c r="J70" s="98">
        <v>1.1909748057500001E-2</v>
      </c>
      <c r="K70" s="98">
        <v>2.17762451363087E-2</v>
      </c>
      <c r="L70" s="98">
        <v>5.4073109999999997E-3</v>
      </c>
      <c r="M70" s="98">
        <v>5.6893857312499997E-3</v>
      </c>
      <c r="N70" s="99">
        <v>2.57030749324412E-2</v>
      </c>
      <c r="O70" s="97">
        <v>66</v>
      </c>
      <c r="P70" s="98">
        <v>6.4695167892061404E-3</v>
      </c>
      <c r="Q70" s="98">
        <v>7.5306892572083502E-3</v>
      </c>
      <c r="R70" s="98">
        <v>2.8293193823010002E-2</v>
      </c>
      <c r="S70" s="20">
        <v>66</v>
      </c>
      <c r="T70" s="20">
        <f t="shared" si="16"/>
        <v>2001</v>
      </c>
      <c r="U70" s="112">
        <f t="shared" si="17"/>
        <v>0</v>
      </c>
      <c r="V70" s="21">
        <f t="shared" si="18"/>
        <v>1.00283244825E-2</v>
      </c>
      <c r="W70" s="113">
        <f t="shared" si="19"/>
        <v>4.9733498749999997E-3</v>
      </c>
      <c r="X70" s="22">
        <f t="shared" si="20"/>
        <v>6.4695167892061404E-3</v>
      </c>
      <c r="Y70" s="46">
        <v>66</v>
      </c>
      <c r="Z70" s="114">
        <f t="shared" si="21"/>
        <v>14.12457646042119</v>
      </c>
      <c r="AA70" s="115">
        <f t="shared" si="22"/>
        <v>15.473788085033545</v>
      </c>
      <c r="AB70" s="116">
        <f t="shared" si="23"/>
        <v>15.077679077856995</v>
      </c>
    </row>
    <row r="71" spans="1:28" ht="15">
      <c r="A71" s="97">
        <v>67</v>
      </c>
      <c r="B71" s="98">
        <v>1.1137482587500001E-2</v>
      </c>
      <c r="C71" s="98">
        <v>1.3193914712499999E-2</v>
      </c>
      <c r="D71" s="98">
        <v>2.7873494375552098E-2</v>
      </c>
      <c r="E71" s="98">
        <v>5.5884816406250003E-3</v>
      </c>
      <c r="F71" s="98">
        <v>6.3812183398437496E-3</v>
      </c>
      <c r="G71" s="99">
        <v>2.87957877286058E-2</v>
      </c>
      <c r="H71" s="97">
        <v>67</v>
      </c>
      <c r="I71" s="98">
        <v>1.1137482587500001E-2</v>
      </c>
      <c r="J71" s="98">
        <v>1.3193914712499999E-2</v>
      </c>
      <c r="K71" s="98">
        <v>2.2168053767044602E-2</v>
      </c>
      <c r="L71" s="98">
        <v>6.0689281250000003E-3</v>
      </c>
      <c r="M71" s="98">
        <v>6.3812183398437496E-3</v>
      </c>
      <c r="N71" s="99">
        <v>2.5795787728605801E-2</v>
      </c>
      <c r="O71" s="97">
        <v>67</v>
      </c>
      <c r="P71" s="98">
        <v>7.2254068249854499E-3</v>
      </c>
      <c r="Q71" s="98">
        <v>8.3912107125140804E-3</v>
      </c>
      <c r="R71" s="98">
        <v>2.8311927089805001E-2</v>
      </c>
      <c r="S71" s="20">
        <v>67</v>
      </c>
      <c r="T71" s="20">
        <f t="shared" si="16"/>
        <v>2002</v>
      </c>
      <c r="U71" s="112">
        <f t="shared" si="17"/>
        <v>0.99996666866652373</v>
      </c>
      <c r="V71" s="21">
        <f t="shared" si="18"/>
        <v>1.0831338703829733E-2</v>
      </c>
      <c r="W71" s="113">
        <f t="shared" si="19"/>
        <v>5.4298570178163939E-3</v>
      </c>
      <c r="X71" s="22">
        <f t="shared" si="20"/>
        <v>7.0237169428681856E-3</v>
      </c>
      <c r="Y71" s="46">
        <v>67</v>
      </c>
      <c r="Z71" s="114">
        <f t="shared" si="21"/>
        <v>13.787828335293369</v>
      </c>
      <c r="AA71" s="115">
        <f t="shared" si="22"/>
        <v>15.127976327612824</v>
      </c>
      <c r="AB71" s="116">
        <f t="shared" si="23"/>
        <v>14.73612182854886</v>
      </c>
    </row>
    <row r="72" spans="1:28" ht="15">
      <c r="A72" s="97">
        <v>68</v>
      </c>
      <c r="B72" s="98">
        <v>1.237278E-2</v>
      </c>
      <c r="C72" s="98">
        <v>1.461558E-2</v>
      </c>
      <c r="D72" s="98">
        <v>2.7823854245453802E-2</v>
      </c>
      <c r="E72" s="98">
        <v>6.2955416000000002E-3</v>
      </c>
      <c r="F72" s="98">
        <v>7.1733706400000001E-3</v>
      </c>
      <c r="G72" s="99">
        <v>2.89316195779343E-2</v>
      </c>
      <c r="H72" s="97">
        <v>68</v>
      </c>
      <c r="I72" s="98">
        <v>1.237278E-2</v>
      </c>
      <c r="J72" s="98">
        <v>1.461558E-2</v>
      </c>
      <c r="K72" s="98">
        <v>2.2543764516004601E-2</v>
      </c>
      <c r="L72" s="98">
        <v>6.8275591999999996E-3</v>
      </c>
      <c r="M72" s="98">
        <v>7.1733706400000001E-3</v>
      </c>
      <c r="N72" s="99">
        <v>2.5931619577934301E-2</v>
      </c>
      <c r="O72" s="97">
        <v>68</v>
      </c>
      <c r="P72" s="98">
        <v>8.0814478304168692E-3</v>
      </c>
      <c r="Q72" s="98">
        <v>9.3609139393850092E-3</v>
      </c>
      <c r="R72" s="98">
        <v>2.8354028557295401E-2</v>
      </c>
      <c r="S72" s="20">
        <v>68</v>
      </c>
      <c r="T72" s="20">
        <f t="shared" si="16"/>
        <v>2003</v>
      </c>
      <c r="U72" s="112">
        <f t="shared" si="17"/>
        <v>1.9997333973150535</v>
      </c>
      <c r="V72" s="21">
        <f t="shared" si="18"/>
        <v>1.1703156688455603E-2</v>
      </c>
      <c r="W72" s="113">
        <f t="shared" si="19"/>
        <v>5.9416458518068756E-3</v>
      </c>
      <c r="X72" s="22">
        <f t="shared" si="20"/>
        <v>7.6359743407600445E-3</v>
      </c>
      <c r="Y72" s="46">
        <v>68</v>
      </c>
      <c r="Z72" s="114">
        <f t="shared" si="21"/>
        <v>13.444968476132409</v>
      </c>
      <c r="AA72" s="115">
        <f t="shared" si="22"/>
        <v>14.773312354481714</v>
      </c>
      <c r="AB72" s="116">
        <f t="shared" si="23"/>
        <v>14.386614207651606</v>
      </c>
    </row>
    <row r="73" spans="1:28" ht="15">
      <c r="A73" s="97">
        <v>69</v>
      </c>
      <c r="B73" s="98">
        <v>1.374676681125E-2</v>
      </c>
      <c r="C73" s="98">
        <v>1.6187059298750001E-2</v>
      </c>
      <c r="D73" s="98">
        <v>2.7774214115355401E-2</v>
      </c>
      <c r="E73" s="98">
        <v>7.1064969687499998E-3</v>
      </c>
      <c r="F73" s="98">
        <v>8.0782558578124993E-3</v>
      </c>
      <c r="G73" s="99">
        <v>2.92208067927681E-2</v>
      </c>
      <c r="H73" s="97">
        <v>69</v>
      </c>
      <c r="I73" s="98">
        <v>1.374676681125E-2</v>
      </c>
      <c r="J73" s="98">
        <v>1.6187059298750001E-2</v>
      </c>
      <c r="K73" s="98">
        <v>2.29447055011591E-2</v>
      </c>
      <c r="L73" s="98">
        <v>7.6954417500000004E-3</v>
      </c>
      <c r="M73" s="98">
        <v>8.0782558578124993E-3</v>
      </c>
      <c r="N73" s="99">
        <v>2.62208067927681E-2</v>
      </c>
      <c r="O73" s="97">
        <v>69</v>
      </c>
      <c r="P73" s="98">
        <v>9.0486255090422799E-3</v>
      </c>
      <c r="Q73" s="98">
        <v>1.0451260598858999E-2</v>
      </c>
      <c r="R73" s="98">
        <v>2.8477184787073302E-2</v>
      </c>
      <c r="S73" s="20">
        <v>69</v>
      </c>
      <c r="T73" s="20">
        <f t="shared" si="16"/>
        <v>2004</v>
      </c>
      <c r="U73" s="112">
        <f t="shared" si="17"/>
        <v>2.9991004856877899</v>
      </c>
      <c r="V73" s="21">
        <f t="shared" si="18"/>
        <v>1.2648087227390513E-2</v>
      </c>
      <c r="W73" s="113">
        <f t="shared" si="19"/>
        <v>6.5102202994313544E-3</v>
      </c>
      <c r="X73" s="22">
        <f t="shared" si="20"/>
        <v>8.3079005038515022E-3</v>
      </c>
      <c r="Y73" s="46">
        <v>69</v>
      </c>
      <c r="Z73" s="114">
        <f t="shared" si="21"/>
        <v>13.096032131206263</v>
      </c>
      <c r="AA73" s="115">
        <f t="shared" si="22"/>
        <v>14.409863152284862</v>
      </c>
      <c r="AB73" s="116">
        <f t="shared" si="23"/>
        <v>14.029205428631956</v>
      </c>
    </row>
    <row r="74" spans="1:28" ht="15">
      <c r="A74" s="97">
        <v>70</v>
      </c>
      <c r="B74" s="98">
        <v>1.5274656562500001E-2</v>
      </c>
      <c r="C74" s="98">
        <v>1.79234409375E-2</v>
      </c>
      <c r="D74" s="98">
        <v>2.7724573985257E-2</v>
      </c>
      <c r="E74" s="98">
        <v>8.0443203125000005E-3</v>
      </c>
      <c r="F74" s="98">
        <v>9.1205199218750005E-3</v>
      </c>
      <c r="G74" s="99">
        <v>2.9532186981688201E-2</v>
      </c>
      <c r="H74" s="97">
        <v>70</v>
      </c>
      <c r="I74" s="98">
        <v>1.5274656562500001E-2</v>
      </c>
      <c r="J74" s="98">
        <v>1.79234409375E-2</v>
      </c>
      <c r="K74" s="98">
        <v>2.3392515741590101E-2</v>
      </c>
      <c r="L74" s="98">
        <v>8.6965624999999994E-3</v>
      </c>
      <c r="M74" s="98">
        <v>9.1205199218750005E-3</v>
      </c>
      <c r="N74" s="99">
        <v>2.6532186981688199E-2</v>
      </c>
      <c r="O74" s="97">
        <v>70</v>
      </c>
      <c r="P74" s="98">
        <v>1.0147127363858701E-2</v>
      </c>
      <c r="Q74" s="98">
        <v>1.16831823272356E-2</v>
      </c>
      <c r="R74" s="98">
        <v>2.86132757223195E-2</v>
      </c>
      <c r="S74" s="20">
        <v>70</v>
      </c>
      <c r="T74" s="20">
        <f t="shared" si="16"/>
        <v>2005</v>
      </c>
      <c r="U74" s="112">
        <f t="shared" si="17"/>
        <v>3.9978687123290042</v>
      </c>
      <c r="V74" s="21">
        <f t="shared" si="18"/>
        <v>1.367208023381933E-2</v>
      </c>
      <c r="W74" s="113">
        <f t="shared" si="19"/>
        <v>7.1484852765499379E-3</v>
      </c>
      <c r="X74" s="22">
        <f t="shared" si="20"/>
        <v>9.0503056201503996E-3</v>
      </c>
      <c r="Y74" s="46">
        <v>70</v>
      </c>
      <c r="Z74" s="114">
        <f t="shared" si="21"/>
        <v>12.741022986554647</v>
      </c>
      <c r="AA74" s="115">
        <f t="shared" si="22"/>
        <v>14.037645845314653</v>
      </c>
      <c r="AB74" s="116">
        <f t="shared" si="23"/>
        <v>13.663891900179308</v>
      </c>
    </row>
    <row r="75" spans="1:28" ht="15">
      <c r="A75" s="97">
        <v>71</v>
      </c>
      <c r="B75" s="98">
        <v>1.6978547186250002E-2</v>
      </c>
      <c r="C75" s="98">
        <v>1.984745592375E-2</v>
      </c>
      <c r="D75" s="98">
        <v>2.7674933855158599E-2</v>
      </c>
      <c r="E75" s="98">
        <v>9.1337815250000006E-3</v>
      </c>
      <c r="F75" s="98">
        <v>1.032644157875E-2</v>
      </c>
      <c r="G75" s="99">
        <v>2.9886187550974001E-2</v>
      </c>
      <c r="H75" s="97">
        <v>71</v>
      </c>
      <c r="I75" s="98">
        <v>1.6978547186250002E-2</v>
      </c>
      <c r="J75" s="98">
        <v>1.984745592375E-2</v>
      </c>
      <c r="K75" s="98">
        <v>2.3880088035642798E-2</v>
      </c>
      <c r="L75" s="98">
        <v>9.8566057999999995E-3</v>
      </c>
      <c r="M75" s="98">
        <v>1.032644157875E-2</v>
      </c>
      <c r="N75" s="99">
        <v>2.6886187550974001E-2</v>
      </c>
      <c r="O75" s="97">
        <v>71</v>
      </c>
      <c r="P75" s="98">
        <v>1.1399661615166E-2</v>
      </c>
      <c r="Q75" s="98">
        <v>1.3080583405827E-2</v>
      </c>
      <c r="R75" s="98">
        <v>2.8773345437525601E-2</v>
      </c>
      <c r="S75" s="20">
        <v>71</v>
      </c>
      <c r="T75" s="20">
        <f t="shared" si="16"/>
        <v>2006</v>
      </c>
      <c r="U75" s="112">
        <f t="shared" si="17"/>
        <v>4.9958395721942761</v>
      </c>
      <c r="V75" s="21">
        <f t="shared" si="18"/>
        <v>1.4786152297838527E-2</v>
      </c>
      <c r="W75" s="113">
        <f t="shared" si="19"/>
        <v>7.8669716932155218E-3</v>
      </c>
      <c r="X75" s="22">
        <f t="shared" si="20"/>
        <v>9.8733247844815485E-3</v>
      </c>
      <c r="Y75" s="46">
        <v>71</v>
      </c>
      <c r="Z75" s="114">
        <f t="shared" si="21"/>
        <v>12.379923209424609</v>
      </c>
      <c r="AA75" s="115">
        <f t="shared" si="22"/>
        <v>13.656776948065616</v>
      </c>
      <c r="AB75" s="116">
        <f t="shared" si="23"/>
        <v>13.290732769667724</v>
      </c>
    </row>
    <row r="76" spans="1:28" ht="15">
      <c r="A76" s="97">
        <v>72</v>
      </c>
      <c r="B76" s="98">
        <v>1.8887440469999999E-2</v>
      </c>
      <c r="C76" s="98">
        <v>2.1989330170000002E-2</v>
      </c>
      <c r="D76" s="98">
        <v>2.7625293725060202E-2</v>
      </c>
      <c r="E76" s="98">
        <v>1.040655865E-2</v>
      </c>
      <c r="F76" s="98">
        <v>1.1729627897500001E-2</v>
      </c>
      <c r="G76" s="99">
        <v>3.0159018022719399E-2</v>
      </c>
      <c r="H76" s="97">
        <v>72</v>
      </c>
      <c r="I76" s="98">
        <v>1.8887440469999999E-2</v>
      </c>
      <c r="J76" s="98">
        <v>2.1989330170000002E-2</v>
      </c>
      <c r="K76" s="98">
        <v>2.4316785989750199E-2</v>
      </c>
      <c r="L76" s="98">
        <v>1.12084188E-2</v>
      </c>
      <c r="M76" s="98">
        <v>1.1729627897500001E-2</v>
      </c>
      <c r="N76" s="99">
        <v>2.7159018022719399E-2</v>
      </c>
      <c r="O76" s="97">
        <v>72</v>
      </c>
      <c r="P76" s="98">
        <v>1.2837397226871E-2</v>
      </c>
      <c r="Q76" s="98">
        <v>1.46759453369361E-2</v>
      </c>
      <c r="R76" s="98">
        <v>2.88943435205344E-2</v>
      </c>
      <c r="S76" s="20">
        <v>72</v>
      </c>
      <c r="T76" s="20">
        <f t="shared" si="16"/>
        <v>2007</v>
      </c>
      <c r="U76" s="112">
        <f t="shared" si="17"/>
        <v>5.9928155121207878</v>
      </c>
      <c r="V76" s="21">
        <f t="shared" si="18"/>
        <v>1.6005683645602627E-2</v>
      </c>
      <c r="W76" s="113">
        <f t="shared" si="19"/>
        <v>8.6858808432414922E-3</v>
      </c>
      <c r="X76" s="22">
        <f t="shared" si="20"/>
        <v>1.0796306657263836E-2</v>
      </c>
      <c r="Y76" s="46">
        <v>72</v>
      </c>
      <c r="Z76" s="114">
        <f t="shared" si="21"/>
        <v>12.012742376089147</v>
      </c>
      <c r="AA76" s="115">
        <f t="shared" si="22"/>
        <v>13.26742246294617</v>
      </c>
      <c r="AB76" s="116">
        <f t="shared" si="23"/>
        <v>12.909824975346845</v>
      </c>
    </row>
    <row r="77" spans="1:28" ht="15">
      <c r="A77" s="97">
        <v>73</v>
      </c>
      <c r="B77" s="98">
        <v>2.1041254451250001E-2</v>
      </c>
      <c r="C77" s="98">
        <v>2.439124333875E-2</v>
      </c>
      <c r="D77" s="98">
        <v>2.7575653594961801E-2</v>
      </c>
      <c r="E77" s="98">
        <v>1.1897564225000001E-2</v>
      </c>
      <c r="F77" s="98">
        <v>1.3366730783749999E-2</v>
      </c>
      <c r="G77" s="99">
        <v>3.0374601463919501E-2</v>
      </c>
      <c r="H77" s="97">
        <v>73</v>
      </c>
      <c r="I77" s="98">
        <v>2.1041254451250001E-2</v>
      </c>
      <c r="J77" s="98">
        <v>2.439124333875E-2</v>
      </c>
      <c r="K77" s="98">
        <v>2.4540150868461199E-2</v>
      </c>
      <c r="L77" s="98">
        <v>1.2787968199999999E-2</v>
      </c>
      <c r="M77" s="98">
        <v>1.3366730783749999E-2</v>
      </c>
      <c r="N77" s="99">
        <v>2.7374601463919498E-2</v>
      </c>
      <c r="O77" s="97">
        <v>73</v>
      </c>
      <c r="P77" s="98">
        <v>1.44959243838801E-2</v>
      </c>
      <c r="Q77" s="98">
        <v>1.65067072546289E-2</v>
      </c>
      <c r="R77" s="98">
        <v>2.8989014719343498E-2</v>
      </c>
      <c r="S77" s="20">
        <v>73</v>
      </c>
      <c r="T77" s="20">
        <f t="shared" si="16"/>
        <v>2008</v>
      </c>
      <c r="U77" s="112">
        <f t="shared" si="17"/>
        <v>6.9886001634642509</v>
      </c>
      <c r="V77" s="21">
        <f t="shared" si="18"/>
        <v>1.7353076161965721E-2</v>
      </c>
      <c r="W77" s="113">
        <f t="shared" si="19"/>
        <v>9.6220539233621127E-3</v>
      </c>
      <c r="X77" s="22">
        <f t="shared" si="20"/>
        <v>1.1837528900400615E-2</v>
      </c>
      <c r="Y77" s="46">
        <v>73</v>
      </c>
      <c r="Z77" s="114">
        <f t="shared" si="21"/>
        <v>11.63955104290225</v>
      </c>
      <c r="AA77" s="115">
        <f t="shared" si="22"/>
        <v>12.869905829966848</v>
      </c>
      <c r="AB77" s="116">
        <f t="shared" si="23"/>
        <v>12.521402879628335</v>
      </c>
    </row>
    <row r="78" spans="1:28" ht="15">
      <c r="A78" s="97">
        <v>74</v>
      </c>
      <c r="B78" s="98">
        <v>2.3487196094999999E-2</v>
      </c>
      <c r="C78" s="98">
        <v>2.7102829544999998E-2</v>
      </c>
      <c r="D78" s="98">
        <v>2.7540150868461202E-2</v>
      </c>
      <c r="E78" s="98">
        <v>1.3649017962499999E-2</v>
      </c>
      <c r="F78" s="98">
        <v>1.5281909669375E-2</v>
      </c>
      <c r="G78" s="99">
        <v>3.0464437860914802E-2</v>
      </c>
      <c r="H78" s="97">
        <v>74</v>
      </c>
      <c r="I78" s="98">
        <v>2.3487196094999999E-2</v>
      </c>
      <c r="J78" s="98">
        <v>2.7102829544999998E-2</v>
      </c>
      <c r="K78" s="98">
        <v>2.4526013464863401E-2</v>
      </c>
      <c r="L78" s="98">
        <v>1.4638649300000001E-2</v>
      </c>
      <c r="M78" s="98">
        <v>1.5281909669375E-2</v>
      </c>
      <c r="N78" s="99">
        <v>2.7464437860914799E-2</v>
      </c>
      <c r="O78" s="97">
        <v>74</v>
      </c>
      <c r="P78" s="98">
        <v>1.6420377623141601E-2</v>
      </c>
      <c r="Q78" s="98">
        <v>1.86198449276711E-2</v>
      </c>
      <c r="R78" s="98">
        <v>2.9028867302595501E-2</v>
      </c>
      <c r="S78" s="20">
        <v>74</v>
      </c>
      <c r="T78" s="20">
        <f t="shared" si="16"/>
        <v>2009</v>
      </c>
      <c r="U78" s="112">
        <f t="shared" si="17"/>
        <v>7.9829985712237317</v>
      </c>
      <c r="V78" s="21">
        <f t="shared" si="18"/>
        <v>1.8851687654169395E-2</v>
      </c>
      <c r="W78" s="113">
        <f t="shared" si="19"/>
        <v>1.0702421357782628E-2</v>
      </c>
      <c r="X78" s="22">
        <f t="shared" si="20"/>
        <v>1.3023894324396858E-2</v>
      </c>
      <c r="Y78" s="46">
        <v>74</v>
      </c>
      <c r="Z78" s="114">
        <f t="shared" si="21"/>
        <v>11.260538059184075</v>
      </c>
      <c r="AA78" s="115">
        <f t="shared" si="22"/>
        <v>12.464637477105391</v>
      </c>
      <c r="AB78" s="116">
        <f t="shared" si="23"/>
        <v>12.125798484817935</v>
      </c>
    </row>
    <row r="79" spans="1:28" ht="15">
      <c r="A79" s="97">
        <v>75</v>
      </c>
      <c r="B79" s="98">
        <v>2.6281475390625E-2</v>
      </c>
      <c r="C79" s="98">
        <v>3.0182908984375E-2</v>
      </c>
      <c r="D79" s="98">
        <v>2.7540150868461202E-2</v>
      </c>
      <c r="E79" s="98">
        <v>1.5703741015625002E-2</v>
      </c>
      <c r="F79" s="98">
        <v>1.75191734960937E-2</v>
      </c>
      <c r="G79" s="99">
        <v>3.0464437860914802E-2</v>
      </c>
      <c r="H79" s="97">
        <v>75</v>
      </c>
      <c r="I79" s="98">
        <v>2.6281475390625E-2</v>
      </c>
      <c r="J79" s="98">
        <v>3.0182908984375E-2</v>
      </c>
      <c r="K79" s="98">
        <v>2.42499580201881E-2</v>
      </c>
      <c r="L79" s="98">
        <v>1.6804003125000001E-2</v>
      </c>
      <c r="M79" s="98">
        <v>1.75191734960937E-2</v>
      </c>
      <c r="N79" s="99">
        <v>2.74003020811503E-2</v>
      </c>
      <c r="O79" s="97">
        <v>75</v>
      </c>
      <c r="P79" s="98">
        <v>1.8657853384942701E-2</v>
      </c>
      <c r="Q79" s="98">
        <v>2.1064035498248701E-2</v>
      </c>
      <c r="R79" s="98">
        <v>2.90409247063814E-2</v>
      </c>
      <c r="S79" s="20">
        <v>75</v>
      </c>
      <c r="T79" s="20">
        <f t="shared" si="16"/>
        <v>2010</v>
      </c>
      <c r="U79" s="112">
        <f t="shared" si="17"/>
        <v>8.975817418995053</v>
      </c>
      <c r="V79" s="21">
        <f t="shared" si="18"/>
        <v>2.0525519535599973E-2</v>
      </c>
      <c r="W79" s="113">
        <f t="shared" si="19"/>
        <v>1.1946707688834129E-2</v>
      </c>
      <c r="X79" s="22">
        <f t="shared" si="20"/>
        <v>1.4376588898405597E-2</v>
      </c>
      <c r="Y79" s="46">
        <v>75</v>
      </c>
      <c r="Z79" s="114">
        <f t="shared" si="21"/>
        <v>10.875990354647003</v>
      </c>
      <c r="AA79" s="115">
        <f t="shared" si="22"/>
        <v>12.052210814620501</v>
      </c>
      <c r="AB79" s="116">
        <f t="shared" si="23"/>
        <v>11.72351626110564</v>
      </c>
    </row>
    <row r="80" spans="1:28" ht="15">
      <c r="A80" s="97">
        <v>76</v>
      </c>
      <c r="B80" s="98">
        <v>2.9486606879999998E-2</v>
      </c>
      <c r="C80" s="98">
        <v>3.3696115679999999E-2</v>
      </c>
      <c r="D80" s="98">
        <v>2.7540150868461202E-2</v>
      </c>
      <c r="E80" s="98">
        <v>1.8106731000000001E-2</v>
      </c>
      <c r="F80" s="98">
        <v>2.012408865E-2</v>
      </c>
      <c r="G80" s="99">
        <v>3.0464437860914802E-2</v>
      </c>
      <c r="H80" s="97">
        <v>76</v>
      </c>
      <c r="I80" s="98">
        <v>2.9486606879999998E-2</v>
      </c>
      <c r="J80" s="98">
        <v>3.3696115679999999E-2</v>
      </c>
      <c r="K80" s="98">
        <v>2.3805943899593202E-2</v>
      </c>
      <c r="L80" s="98">
        <v>1.9329372000000001E-2</v>
      </c>
      <c r="M80" s="98">
        <v>2.012408865E-2</v>
      </c>
      <c r="N80" s="99">
        <v>2.720160544726E-2</v>
      </c>
      <c r="O80" s="97">
        <v>76</v>
      </c>
      <c r="P80" s="98">
        <v>2.1254708768630899E-2</v>
      </c>
      <c r="Q80" s="98">
        <v>2.38867369335432E-2</v>
      </c>
      <c r="R80" s="98">
        <v>2.9052990497373501E-2</v>
      </c>
      <c r="S80" s="20">
        <v>76</v>
      </c>
      <c r="T80" s="20">
        <f t="shared" si="16"/>
        <v>2011</v>
      </c>
      <c r="U80" s="112">
        <f t="shared" si="17"/>
        <v>9.9668652491162035</v>
      </c>
      <c r="V80" s="21">
        <f t="shared" si="18"/>
        <v>2.2408653103737693E-2</v>
      </c>
      <c r="W80" s="113">
        <f t="shared" si="19"/>
        <v>1.3365126312603389E-2</v>
      </c>
      <c r="X80" s="22">
        <f t="shared" si="20"/>
        <v>1.5911008347522695E-2</v>
      </c>
      <c r="Y80" s="46">
        <v>76</v>
      </c>
      <c r="Z80" s="114">
        <f t="shared" si="21"/>
        <v>10.486266027026106</v>
      </c>
      <c r="AA80" s="115">
        <f t="shared" si="22"/>
        <v>11.633278626417898</v>
      </c>
      <c r="AB80" s="116">
        <f t="shared" si="23"/>
        <v>11.315129882198297</v>
      </c>
    </row>
    <row r="81" spans="1:28" ht="15">
      <c r="A81" s="97">
        <v>77</v>
      </c>
      <c r="B81" s="98">
        <v>3.3172986964374998E-2</v>
      </c>
      <c r="C81" s="98">
        <v>3.7714479420625002E-2</v>
      </c>
      <c r="D81" s="98">
        <v>2.7540150868461202E-2</v>
      </c>
      <c r="E81" s="98">
        <v>2.0910307612500002E-2</v>
      </c>
      <c r="F81" s="98">
        <v>2.3149411216874999E-2</v>
      </c>
      <c r="G81" s="99">
        <v>3.0464437860914802E-2</v>
      </c>
      <c r="H81" s="97">
        <v>77</v>
      </c>
      <c r="I81" s="98">
        <v>3.3172986964374998E-2</v>
      </c>
      <c r="J81" s="98">
        <v>3.7714479420625002E-2</v>
      </c>
      <c r="K81" s="98">
        <v>2.3236393151918101E-2</v>
      </c>
      <c r="L81" s="98">
        <v>2.2267340100000001E-2</v>
      </c>
      <c r="M81" s="98">
        <v>2.3149411216874999E-2</v>
      </c>
      <c r="N81" s="99">
        <v>2.6851753918006701E-2</v>
      </c>
      <c r="O81" s="97">
        <v>77</v>
      </c>
      <c r="P81" s="98">
        <v>2.42669108998598E-2</v>
      </c>
      <c r="Q81" s="98">
        <v>2.7144488070343201E-2</v>
      </c>
      <c r="R81" s="98">
        <v>2.9064429555122201E-2</v>
      </c>
      <c r="S81" s="20">
        <v>77</v>
      </c>
      <c r="T81" s="20">
        <f t="shared" si="16"/>
        <v>2012</v>
      </c>
      <c r="U81" s="112">
        <f t="shared" si="17"/>
        <v>10.955952677394434</v>
      </c>
      <c r="V81" s="21">
        <f t="shared" si="18"/>
        <v>2.4532709516788893E-2</v>
      </c>
      <c r="W81" s="113">
        <f t="shared" si="19"/>
        <v>1.4976394852118354E-2</v>
      </c>
      <c r="X81" s="22">
        <f t="shared" si="20"/>
        <v>1.7649107512506628E-2</v>
      </c>
      <c r="Y81" s="46">
        <v>77</v>
      </c>
      <c r="Z81" s="114">
        <f t="shared" si="21"/>
        <v>10.091861696024257</v>
      </c>
      <c r="AA81" s="115">
        <f t="shared" si="22"/>
        <v>11.208411608384321</v>
      </c>
      <c r="AB81" s="116">
        <f t="shared" si="23"/>
        <v>10.901183905606212</v>
      </c>
    </row>
    <row r="82" spans="1:28" ht="15">
      <c r="A82" s="97">
        <v>78</v>
      </c>
      <c r="B82" s="98">
        <v>3.74232905325E-2</v>
      </c>
      <c r="C82" s="98">
        <v>4.2322149607499998E-2</v>
      </c>
      <c r="D82" s="98">
        <v>2.75260134648634E-2</v>
      </c>
      <c r="E82" s="98">
        <v>2.4175862062500001E-2</v>
      </c>
      <c r="F82" s="98">
        <v>2.6656845684375E-2</v>
      </c>
      <c r="G82" s="99">
        <v>3.0464437860914802E-2</v>
      </c>
      <c r="H82" s="97">
        <v>78</v>
      </c>
      <c r="I82" s="98">
        <v>3.74232905325E-2</v>
      </c>
      <c r="J82" s="98">
        <v>4.2322149607499998E-2</v>
      </c>
      <c r="K82" s="98">
        <v>2.2544757451413901E-2</v>
      </c>
      <c r="L82" s="98">
        <v>2.56794885E-2</v>
      </c>
      <c r="M82" s="98">
        <v>2.6656845684375E-2</v>
      </c>
      <c r="N82" s="99">
        <v>2.64335645171811E-2</v>
      </c>
      <c r="O82" s="97">
        <v>78</v>
      </c>
      <c r="P82" s="98">
        <v>2.77591689135839E-2</v>
      </c>
      <c r="Q82" s="98">
        <v>3.0902376843694901E-2</v>
      </c>
      <c r="R82" s="98">
        <v>2.90681827615949E-2</v>
      </c>
      <c r="S82" s="20">
        <v>78</v>
      </c>
      <c r="T82" s="20">
        <f t="shared" si="16"/>
        <v>2013</v>
      </c>
      <c r="U82" s="112">
        <f t="shared" si="17"/>
        <v>11.942892601833845</v>
      </c>
      <c r="V82" s="21">
        <f t="shared" si="18"/>
        <v>2.6938406776677509E-2</v>
      </c>
      <c r="W82" s="113">
        <f t="shared" si="19"/>
        <v>1.680239087733942E-2</v>
      </c>
      <c r="X82" s="22">
        <f t="shared" si="20"/>
        <v>1.9617225102825969E-2</v>
      </c>
      <c r="Y82" s="46">
        <v>78</v>
      </c>
      <c r="Z82" s="114">
        <f t="shared" si="21"/>
        <v>9.6933400597997483</v>
      </c>
      <c r="AA82" s="115">
        <f t="shared" si="22"/>
        <v>10.778166144684219</v>
      </c>
      <c r="AB82" s="116">
        <f t="shared" si="23"/>
        <v>10.482233324750156</v>
      </c>
    </row>
    <row r="83" spans="1:28" ht="15">
      <c r="A83" s="97">
        <v>79</v>
      </c>
      <c r="B83" s="98">
        <v>4.2336395210625002E-2</v>
      </c>
      <c r="C83" s="98">
        <v>4.7619437004375001E-2</v>
      </c>
      <c r="D83" s="98">
        <v>2.7249958020188099E-2</v>
      </c>
      <c r="E83" s="98">
        <v>2.7979227693750001E-2</v>
      </c>
      <c r="F83" s="98">
        <v>3.0722732616562502E-2</v>
      </c>
      <c r="G83" s="99">
        <v>3.0400302081150299E-2</v>
      </c>
      <c r="H83" s="97">
        <v>79</v>
      </c>
      <c r="I83" s="98">
        <v>4.2336395210625002E-2</v>
      </c>
      <c r="J83" s="98">
        <v>4.7619437004375001E-2</v>
      </c>
      <c r="K83" s="98">
        <v>2.1822831458300398E-2</v>
      </c>
      <c r="L83" s="98">
        <v>2.9641957949999999E-2</v>
      </c>
      <c r="M83" s="98">
        <v>3.0722732616562502E-2</v>
      </c>
      <c r="N83" s="99">
        <v>2.5869147278889601E-2</v>
      </c>
      <c r="O83" s="97">
        <v>79</v>
      </c>
      <c r="P83" s="98">
        <v>3.1798170199371603E-2</v>
      </c>
      <c r="Q83" s="98">
        <v>3.5227248937401999E-2</v>
      </c>
      <c r="R83" s="98">
        <v>2.8915099218949199E-2</v>
      </c>
      <c r="S83" s="20">
        <v>79</v>
      </c>
      <c r="T83" s="20">
        <f t="shared" si="16"/>
        <v>2014</v>
      </c>
      <c r="U83" s="112">
        <f t="shared" si="17"/>
        <v>12.927500404814307</v>
      </c>
      <c r="V83" s="21">
        <f t="shared" si="18"/>
        <v>2.9766192798008871E-2</v>
      </c>
      <c r="W83" s="113">
        <f t="shared" si="19"/>
        <v>1.8886784587444107E-2</v>
      </c>
      <c r="X83" s="22">
        <f t="shared" si="20"/>
        <v>2.18807835984965E-2</v>
      </c>
      <c r="Y83" s="46">
        <v>79</v>
      </c>
      <c r="Z83" s="114">
        <f t="shared" si="21"/>
        <v>9.2913683215495766</v>
      </c>
      <c r="AA83" s="115">
        <f t="shared" si="22"/>
        <v>10.343081285099931</v>
      </c>
      <c r="AB83" s="116">
        <f t="shared" si="23"/>
        <v>10.05884937010901</v>
      </c>
    </row>
    <row r="84" spans="1:28" ht="15">
      <c r="A84" s="97">
        <v>80</v>
      </c>
      <c r="B84" s="98">
        <v>4.802895075E-2</v>
      </c>
      <c r="C84" s="98">
        <v>5.3724083249999999E-2</v>
      </c>
      <c r="D84" s="98">
        <v>2.6805943899593201E-2</v>
      </c>
      <c r="E84" s="98">
        <v>3.2404928749999999E-2</v>
      </c>
      <c r="F84" s="98">
        <v>3.54314268125E-2</v>
      </c>
      <c r="G84" s="99">
        <v>3.0201605447259999E-2</v>
      </c>
      <c r="H84" s="97">
        <v>80</v>
      </c>
      <c r="I84" s="98">
        <v>4.802895075E-2</v>
      </c>
      <c r="J84" s="98">
        <v>5.3724083249999999E-2</v>
      </c>
      <c r="K84" s="98">
        <v>2.0996523485789401E-2</v>
      </c>
      <c r="L84" s="98">
        <v>3.4239169999999999E-2</v>
      </c>
      <c r="M84" s="98">
        <v>3.54314268125E-2</v>
      </c>
      <c r="N84" s="99">
        <v>2.5123030649213399E-2</v>
      </c>
      <c r="O84" s="97">
        <v>80</v>
      </c>
      <c r="P84" s="98">
        <v>3.6477213195966002E-2</v>
      </c>
      <c r="Q84" s="98">
        <v>4.0211573531657399E-2</v>
      </c>
      <c r="R84" s="98">
        <v>2.86105639972043E-2</v>
      </c>
      <c r="S84" s="20">
        <v>80</v>
      </c>
      <c r="T84" s="20">
        <f t="shared" si="16"/>
        <v>2015</v>
      </c>
      <c r="U84" s="112">
        <f t="shared" si="17"/>
        <v>13.909594148207132</v>
      </c>
      <c r="V84" s="21">
        <f t="shared" si="18"/>
        <v>3.3080506100026247E-2</v>
      </c>
      <c r="W84" s="113">
        <f t="shared" si="19"/>
        <v>2.1289595064675291E-2</v>
      </c>
      <c r="X84" s="22">
        <f t="shared" si="20"/>
        <v>2.4501306338823525E-2</v>
      </c>
      <c r="Y84" s="46">
        <v>80</v>
      </c>
      <c r="Z84" s="114">
        <f t="shared" si="21"/>
        <v>8.8875722433122242</v>
      </c>
      <c r="AA84" s="115">
        <f t="shared" si="22"/>
        <v>9.9038565415898869</v>
      </c>
      <c r="AB84" s="116">
        <f t="shared" si="23"/>
        <v>9.6319581365285298</v>
      </c>
    </row>
    <row r="85" spans="1:28" ht="15">
      <c r="A85" s="97">
        <v>81</v>
      </c>
      <c r="B85" s="98">
        <v>5.4634909756875003E-2</v>
      </c>
      <c r="C85" s="98">
        <v>6.0770213888125001E-2</v>
      </c>
      <c r="D85" s="98">
        <v>2.62363931519181E-2</v>
      </c>
      <c r="E85" s="98">
        <v>3.7550078728124998E-2</v>
      </c>
      <c r="F85" s="98">
        <v>4.0879342627968801E-2</v>
      </c>
      <c r="G85" s="99">
        <v>2.98517539180067E-2</v>
      </c>
      <c r="H85" s="97">
        <v>81</v>
      </c>
      <c r="I85" s="98">
        <v>5.4634909756875003E-2</v>
      </c>
      <c r="J85" s="98">
        <v>6.0770213888125001E-2</v>
      </c>
      <c r="K85" s="98">
        <v>2.00333458068205E-2</v>
      </c>
      <c r="L85" s="98">
        <v>3.9567814425E-2</v>
      </c>
      <c r="M85" s="98">
        <v>4.0879342627968801E-2</v>
      </c>
      <c r="N85" s="99">
        <v>2.4258748948580801E-2</v>
      </c>
      <c r="O85" s="97">
        <v>81</v>
      </c>
      <c r="P85" s="98">
        <v>4.1900327093718201E-2</v>
      </c>
      <c r="Q85" s="98">
        <v>4.5958071880562799E-2</v>
      </c>
      <c r="R85" s="98">
        <v>2.81647044046223E-2</v>
      </c>
      <c r="S85" s="20">
        <v>81</v>
      </c>
      <c r="T85" s="20">
        <f t="shared" si="16"/>
        <v>2016</v>
      </c>
      <c r="U85" s="112">
        <f t="shared" si="17"/>
        <v>14.888994760949725</v>
      </c>
      <c r="V85" s="21">
        <f t="shared" si="18"/>
        <v>3.696751415208728E-2</v>
      </c>
      <c r="W85" s="113">
        <f t="shared" si="19"/>
        <v>2.4075936763343037E-2</v>
      </c>
      <c r="X85" s="22">
        <f t="shared" si="20"/>
        <v>2.7548538828273777E-2</v>
      </c>
      <c r="Y85" s="46">
        <v>81</v>
      </c>
      <c r="Z85" s="114">
        <f t="shared" si="21"/>
        <v>8.4837209145080177</v>
      </c>
      <c r="AA85" s="115">
        <f t="shared" si="22"/>
        <v>9.4614410519783991</v>
      </c>
      <c r="AB85" s="116">
        <f t="shared" si="23"/>
        <v>9.2027150013875545</v>
      </c>
    </row>
    <row r="86" spans="1:28" ht="15">
      <c r="A86" s="97">
        <v>82</v>
      </c>
      <c r="B86" s="98">
        <v>6.2310013932499998E-2</v>
      </c>
      <c r="C86" s="98">
        <v>6.8912807007499993E-2</v>
      </c>
      <c r="D86" s="98">
        <v>2.5544757451413901E-2</v>
      </c>
      <c r="E86" s="98">
        <v>4.3529553924999999E-2</v>
      </c>
      <c r="F86" s="98">
        <v>4.7180279038750002E-2</v>
      </c>
      <c r="G86" s="99">
        <v>2.9433564517181099E-2</v>
      </c>
      <c r="H86" s="97">
        <v>82</v>
      </c>
      <c r="I86" s="98">
        <v>6.2310013932499998E-2</v>
      </c>
      <c r="J86" s="98">
        <v>6.8912807007499993E-2</v>
      </c>
      <c r="K86" s="98">
        <v>1.8935642373900798E-2</v>
      </c>
      <c r="L86" s="98">
        <v>4.5742114600000001E-2</v>
      </c>
      <c r="M86" s="98">
        <v>4.7180279038750002E-2</v>
      </c>
      <c r="N86" s="99">
        <v>2.3252605331208501E-2</v>
      </c>
      <c r="O86" s="97">
        <v>82</v>
      </c>
      <c r="P86" s="98">
        <v>4.8173762313433101E-2</v>
      </c>
      <c r="Q86" s="98">
        <v>5.2570330306596698E-2</v>
      </c>
      <c r="R86" s="98">
        <v>2.76225320474917E-2</v>
      </c>
      <c r="S86" s="20">
        <v>82</v>
      </c>
      <c r="T86" s="20">
        <f t="shared" si="16"/>
        <v>2017</v>
      </c>
      <c r="U86" s="112">
        <f t="shared" si="17"/>
        <v>15.865526218640142</v>
      </c>
      <c r="V86" s="21">
        <f t="shared" si="18"/>
        <v>4.1547657051595861E-2</v>
      </c>
      <c r="W86" s="113">
        <f t="shared" si="19"/>
        <v>2.7288384035173141E-2</v>
      </c>
      <c r="X86" s="22">
        <f t="shared" si="20"/>
        <v>3.1080124027357381E-2</v>
      </c>
      <c r="Y86" s="46">
        <v>82</v>
      </c>
      <c r="Z86" s="114">
        <f t="shared" si="21"/>
        <v>8.081835104696026</v>
      </c>
      <c r="AA86" s="115">
        <f t="shared" si="22"/>
        <v>9.0169912040826503</v>
      </c>
      <c r="AB86" s="116">
        <f t="shared" si="23"/>
        <v>8.7724929644962408</v>
      </c>
    </row>
    <row r="87" spans="1:28" ht="15">
      <c r="A87" s="97">
        <v>83</v>
      </c>
      <c r="B87" s="98">
        <v>7.0771464610625001E-2</v>
      </c>
      <c r="C87" s="98">
        <v>7.7820900404375004E-2</v>
      </c>
      <c r="D87" s="98">
        <v>2.4822831458300401E-2</v>
      </c>
      <c r="E87" s="98">
        <v>5.04791189625E-2</v>
      </c>
      <c r="F87" s="98">
        <v>5.4468393819375002E-2</v>
      </c>
      <c r="G87" s="99">
        <v>2.88691472788896E-2</v>
      </c>
      <c r="H87" s="97">
        <v>83</v>
      </c>
      <c r="I87" s="98">
        <v>7.0771464610625001E-2</v>
      </c>
      <c r="J87" s="98">
        <v>7.7820900404375004E-2</v>
      </c>
      <c r="K87" s="98">
        <v>1.7781662703159801E-2</v>
      </c>
      <c r="L87" s="98">
        <v>5.28968613E-2</v>
      </c>
      <c r="M87" s="98">
        <v>5.4468393819375002E-2</v>
      </c>
      <c r="N87" s="99">
        <v>2.2103056246855501E-2</v>
      </c>
      <c r="O87" s="97">
        <v>83</v>
      </c>
      <c r="P87" s="98">
        <v>5.5336519202462103E-2</v>
      </c>
      <c r="Q87" s="98">
        <v>6.0074592070255797E-2</v>
      </c>
      <c r="R87" s="98">
        <v>2.6995462935333999E-2</v>
      </c>
      <c r="S87" s="20">
        <v>83</v>
      </c>
      <c r="T87" s="20">
        <f t="shared" si="16"/>
        <v>2018</v>
      </c>
      <c r="U87" s="112">
        <f t="shared" si="17"/>
        <v>16.839015714752993</v>
      </c>
      <c r="V87" s="21">
        <f t="shared" si="18"/>
        <v>4.65936296139043E-2</v>
      </c>
      <c r="W87" s="113">
        <f t="shared" si="19"/>
        <v>3.10448129657315E-2</v>
      </c>
      <c r="X87" s="22">
        <f t="shared" si="20"/>
        <v>3.5122995182985402E-2</v>
      </c>
      <c r="Y87" s="46">
        <v>83</v>
      </c>
      <c r="Z87" s="114">
        <f t="shared" si="21"/>
        <v>7.6843763417878677</v>
      </c>
      <c r="AA87" s="115">
        <f t="shared" si="22"/>
        <v>8.5715752905611922</v>
      </c>
      <c r="AB87" s="116">
        <f t="shared" si="23"/>
        <v>8.3426843473116303</v>
      </c>
    </row>
    <row r="88" spans="1:28" ht="15">
      <c r="A88" s="97">
        <v>84</v>
      </c>
      <c r="B88" s="98">
        <v>7.9758719039999995E-2</v>
      </c>
      <c r="C88" s="98">
        <v>8.719542944E-2</v>
      </c>
      <c r="D88" s="98">
        <v>2.3996523485789401E-2</v>
      </c>
      <c r="E88" s="98">
        <v>5.8553811999999997E-2</v>
      </c>
      <c r="F88" s="98">
        <v>6.2896004800000002E-2</v>
      </c>
      <c r="G88" s="99">
        <v>2.8123030649213399E-2</v>
      </c>
      <c r="H88" s="97">
        <v>84</v>
      </c>
      <c r="I88" s="98">
        <v>7.9758719039999995E-2</v>
      </c>
      <c r="J88" s="98">
        <v>8.719542944E-2</v>
      </c>
      <c r="K88" s="98">
        <v>1.6607861339362099E-2</v>
      </c>
      <c r="L88" s="98">
        <v>6.1185443999999999E-2</v>
      </c>
      <c r="M88" s="98">
        <v>6.2896004800000002E-2</v>
      </c>
      <c r="N88" s="99">
        <v>2.0796417724536501E-2</v>
      </c>
      <c r="O88" s="97">
        <v>84</v>
      </c>
      <c r="P88" s="98">
        <v>6.3434923657566394E-2</v>
      </c>
      <c r="Q88" s="98">
        <v>6.85067117342677E-2</v>
      </c>
      <c r="R88" s="98">
        <v>2.62368859759128E-2</v>
      </c>
      <c r="S88" s="20">
        <v>84</v>
      </c>
      <c r="T88" s="20">
        <f t="shared" si="16"/>
        <v>2019</v>
      </c>
      <c r="U88" s="112">
        <f t="shared" si="17"/>
        <v>17.809293823119752</v>
      </c>
      <c r="V88" s="21">
        <f t="shared" si="18"/>
        <v>5.2020867067833806E-2</v>
      </c>
      <c r="W88" s="113">
        <f t="shared" si="19"/>
        <v>3.5484460868615723E-2</v>
      </c>
      <c r="X88" s="22">
        <f t="shared" si="20"/>
        <v>3.9755736484683897E-2</v>
      </c>
      <c r="Y88" s="46">
        <v>84</v>
      </c>
      <c r="Z88" s="114">
        <f t="shared" si="21"/>
        <v>7.2914883006751579</v>
      </c>
      <c r="AA88" s="115">
        <f t="shared" si="22"/>
        <v>8.1267311507824651</v>
      </c>
      <c r="AB88" s="116">
        <f t="shared" si="23"/>
        <v>7.9143680314490563</v>
      </c>
    </row>
    <row r="89" spans="1:28" ht="15">
      <c r="A89" s="97">
        <v>85</v>
      </c>
      <c r="B89" s="98">
        <v>8.9558706328125001E-2</v>
      </c>
      <c r="C89" s="98">
        <v>9.7339480546874996E-2</v>
      </c>
      <c r="D89" s="98">
        <v>2.30333458068205E-2</v>
      </c>
      <c r="E89" s="98">
        <v>6.7933124999999997E-2</v>
      </c>
      <c r="F89" s="98">
        <v>7.2638718749999998E-2</v>
      </c>
      <c r="G89" s="99">
        <v>2.72587489485808E-2</v>
      </c>
      <c r="H89" s="97">
        <v>85</v>
      </c>
      <c r="I89" s="98">
        <v>8.9558706328125001E-2</v>
      </c>
      <c r="J89" s="98">
        <v>9.7339480546874996E-2</v>
      </c>
      <c r="K89" s="98">
        <v>1.54735661540453E-2</v>
      </c>
      <c r="L89" s="98">
        <v>7.0785000000000001E-2</v>
      </c>
      <c r="M89" s="98">
        <v>7.2638718749999998E-2</v>
      </c>
      <c r="N89" s="99">
        <v>1.9387592383510399E-2</v>
      </c>
      <c r="O89" s="97">
        <v>85</v>
      </c>
      <c r="P89" s="98">
        <v>7.26603854576785E-2</v>
      </c>
      <c r="Q89" s="98">
        <v>7.8058834508757599E-2</v>
      </c>
      <c r="R89" s="98">
        <v>2.53604636587118E-2</v>
      </c>
      <c r="S89" s="20">
        <v>85</v>
      </c>
      <c r="T89" s="20">
        <f t="shared" si="16"/>
        <v>2020</v>
      </c>
      <c r="U89" s="112">
        <f t="shared" si="17"/>
        <v>18.776194651359344</v>
      </c>
      <c r="V89" s="21">
        <f t="shared" si="18"/>
        <v>5.811453255032651E-2</v>
      </c>
      <c r="W89" s="113">
        <f t="shared" si="19"/>
        <v>4.0719544627950681E-2</v>
      </c>
      <c r="X89" s="22">
        <f t="shared" si="20"/>
        <v>4.5133435236137415E-2</v>
      </c>
      <c r="Y89" s="46">
        <v>85</v>
      </c>
      <c r="Z89" s="114">
        <f t="shared" si="21"/>
        <v>6.9022066049742552</v>
      </c>
      <c r="AA89" s="115">
        <f t="shared" si="22"/>
        <v>7.68448002765059</v>
      </c>
      <c r="AB89" s="116">
        <f t="shared" si="23"/>
        <v>7.4886599440667441</v>
      </c>
    </row>
    <row r="90" spans="1:28" ht="15">
      <c r="A90" s="97">
        <v>86</v>
      </c>
      <c r="B90" s="98">
        <v>0.10031466560000001</v>
      </c>
      <c r="C90" s="98">
        <v>0.1083941216</v>
      </c>
      <c r="D90" s="98">
        <v>2.1935642373900801E-2</v>
      </c>
      <c r="E90" s="98">
        <v>7.8826273000000002E-2</v>
      </c>
      <c r="F90" s="98">
        <v>8.390052295E-2</v>
      </c>
      <c r="G90" s="99">
        <v>2.62526053312085E-2</v>
      </c>
      <c r="H90" s="97">
        <v>86</v>
      </c>
      <c r="I90" s="98">
        <v>0.10031466560000001</v>
      </c>
      <c r="J90" s="98">
        <v>0.1083941216</v>
      </c>
      <c r="K90" s="98">
        <v>1.4422247766252E-2</v>
      </c>
      <c r="L90" s="98">
        <v>8.1901576000000004E-2</v>
      </c>
      <c r="M90" s="98">
        <v>8.390052295E-2</v>
      </c>
      <c r="N90" s="99">
        <v>1.79621380814304E-2</v>
      </c>
      <c r="O90" s="97">
        <v>86</v>
      </c>
      <c r="P90" s="98">
        <v>8.3210745136327202E-2</v>
      </c>
      <c r="Q90" s="98">
        <v>8.8925315067086105E-2</v>
      </c>
      <c r="R90" s="98">
        <v>2.4354009081271801E-2</v>
      </c>
      <c r="S90" s="20">
        <v>86</v>
      </c>
      <c r="T90" s="20">
        <f t="shared" si="16"/>
        <v>2021</v>
      </c>
      <c r="U90" s="112">
        <f t="shared" si="17"/>
        <v>19.739555984988076</v>
      </c>
      <c r="V90" s="21">
        <f t="shared" si="18"/>
        <v>6.5060139220457738E-2</v>
      </c>
      <c r="W90" s="113">
        <f t="shared" si="19"/>
        <v>4.6947576346650338E-2</v>
      </c>
      <c r="X90" s="22">
        <f t="shared" si="20"/>
        <v>5.1451476623978892E-2</v>
      </c>
      <c r="Y90" s="46">
        <v>86</v>
      </c>
      <c r="Z90" s="114">
        <f t="shared" si="21"/>
        <v>6.5170289608499621</v>
      </c>
      <c r="AA90" s="115">
        <f t="shared" si="22"/>
        <v>7.2469518062477265</v>
      </c>
      <c r="AB90" s="116">
        <f t="shared" si="23"/>
        <v>7.0671720959234117</v>
      </c>
    </row>
    <row r="91" spans="1:28" ht="15">
      <c r="A91" s="97">
        <v>87</v>
      </c>
      <c r="B91" s="98">
        <v>0.11229702147749999</v>
      </c>
      <c r="C91" s="98">
        <v>0.1206340375025</v>
      </c>
      <c r="D91" s="98">
        <v>2.0781662703159801E-2</v>
      </c>
      <c r="E91" s="98">
        <v>9.0922222181249998E-2</v>
      </c>
      <c r="F91" s="98">
        <v>9.6330478114687507E-2</v>
      </c>
      <c r="G91" s="99">
        <v>2.51030562468555E-2</v>
      </c>
      <c r="H91" s="97">
        <v>87</v>
      </c>
      <c r="I91" s="98">
        <v>0.11229702147749999</v>
      </c>
      <c r="J91" s="98">
        <v>0.1206340375025</v>
      </c>
      <c r="K91" s="98">
        <v>1.3401819865737401E-2</v>
      </c>
      <c r="L91" s="98">
        <v>9.4199953049999993E-2</v>
      </c>
      <c r="M91" s="98">
        <v>9.6330478114687507E-2</v>
      </c>
      <c r="N91" s="99">
        <v>1.6548347926702799E-2</v>
      </c>
      <c r="O91" s="97">
        <v>87</v>
      </c>
      <c r="P91" s="98">
        <v>9.4955441381713801E-2</v>
      </c>
      <c r="Q91" s="98">
        <v>0.10094754162821</v>
      </c>
      <c r="R91" s="98">
        <v>2.3239692386413501E-2</v>
      </c>
      <c r="S91" s="20">
        <v>87</v>
      </c>
      <c r="T91" s="20">
        <f t="shared" si="16"/>
        <v>2022</v>
      </c>
      <c r="U91" s="112">
        <f t="shared" si="17"/>
        <v>20.6992194219821</v>
      </c>
      <c r="V91" s="21">
        <f t="shared" si="18"/>
        <v>7.3038240191951306E-2</v>
      </c>
      <c r="W91" s="113">
        <f t="shared" si="19"/>
        <v>5.40760165379741E-2</v>
      </c>
      <c r="X91" s="22">
        <f t="shared" si="20"/>
        <v>5.869556976360131E-2</v>
      </c>
      <c r="Y91" s="46">
        <v>87</v>
      </c>
      <c r="Z91" s="114">
        <f t="shared" si="21"/>
        <v>6.1369830937574141</v>
      </c>
      <c r="AA91" s="115">
        <f t="shared" si="22"/>
        <v>6.8168651768317678</v>
      </c>
      <c r="AB91" s="116">
        <f t="shared" si="23"/>
        <v>6.6521203968592451</v>
      </c>
    </row>
    <row r="92" spans="1:28" ht="15">
      <c r="A92" s="97">
        <v>88</v>
      </c>
      <c r="B92" s="98">
        <v>0.12577961838000001</v>
      </c>
      <c r="C92" s="98">
        <v>0.13433149218000001</v>
      </c>
      <c r="D92" s="98">
        <v>1.9607861339362102E-2</v>
      </c>
      <c r="E92" s="98">
        <v>0.10425843535</v>
      </c>
      <c r="F92" s="98">
        <v>0.10995171720249999</v>
      </c>
      <c r="G92" s="99">
        <v>2.3796417724536501E-2</v>
      </c>
      <c r="H92" s="97">
        <v>88</v>
      </c>
      <c r="I92" s="98">
        <v>0.12577961838000001</v>
      </c>
      <c r="J92" s="98">
        <v>0.13433149218000001</v>
      </c>
      <c r="K92" s="98">
        <v>1.24640802840851E-2</v>
      </c>
      <c r="L92" s="98">
        <v>0.10770890919999999</v>
      </c>
      <c r="M92" s="98">
        <v>0.10995171720249999</v>
      </c>
      <c r="N92" s="99">
        <v>1.51651379470967E-2</v>
      </c>
      <c r="O92" s="97">
        <v>88</v>
      </c>
      <c r="P92" s="98">
        <v>0.108025072656557</v>
      </c>
      <c r="Q92" s="98">
        <v>0.114246899723684</v>
      </c>
      <c r="R92" s="98">
        <v>2.2022524128970201E-2</v>
      </c>
      <c r="S92" s="20">
        <v>88</v>
      </c>
      <c r="T92" s="20">
        <f t="shared" si="16"/>
        <v>2023</v>
      </c>
      <c r="U92" s="112">
        <f t="shared" si="17"/>
        <v>21.655030497608927</v>
      </c>
      <c r="V92" s="21">
        <f t="shared" si="18"/>
        <v>8.2263086204998989E-2</v>
      </c>
      <c r="W92" s="113">
        <f t="shared" si="19"/>
        <v>6.227503483209073E-2</v>
      </c>
      <c r="X92" s="22">
        <f t="shared" si="20"/>
        <v>6.7051764312082193E-2</v>
      </c>
      <c r="Y92" s="46">
        <v>88</v>
      </c>
      <c r="Z92" s="114">
        <f t="shared" si="21"/>
        <v>5.7634118786237805</v>
      </c>
      <c r="AA92" s="115">
        <f t="shared" si="22"/>
        <v>6.3953762560962675</v>
      </c>
      <c r="AB92" s="116">
        <f t="shared" si="23"/>
        <v>6.2447440210786711</v>
      </c>
    </row>
    <row r="93" spans="1:28" ht="15">
      <c r="A93" s="97">
        <v>89</v>
      </c>
      <c r="B93" s="98">
        <v>0.14117500919437501</v>
      </c>
      <c r="C93" s="98">
        <v>0.14990008895062501</v>
      </c>
      <c r="D93" s="98">
        <v>1.8473566154045301E-2</v>
      </c>
      <c r="E93" s="98">
        <v>0.11934966763125</v>
      </c>
      <c r="F93" s="98">
        <v>0.12528822523218699</v>
      </c>
      <c r="G93" s="99">
        <v>2.2387592383510398E-2</v>
      </c>
      <c r="H93" s="97">
        <v>89</v>
      </c>
      <c r="I93" s="98">
        <v>0.14117500919437501</v>
      </c>
      <c r="J93" s="98">
        <v>0.14990008895062501</v>
      </c>
      <c r="K93" s="98">
        <v>1.14899548001808E-2</v>
      </c>
      <c r="L93" s="98">
        <v>0.12294879345</v>
      </c>
      <c r="M93" s="98">
        <v>0.12528822523218699</v>
      </c>
      <c r="N93" s="99">
        <v>1.3860800015978799E-2</v>
      </c>
      <c r="O93" s="97">
        <v>89</v>
      </c>
      <c r="P93" s="98">
        <v>0.122932356348781</v>
      </c>
      <c r="Q93" s="98">
        <v>0.12934599684651399</v>
      </c>
      <c r="R93" s="98">
        <v>2.0760290919838401E-2</v>
      </c>
      <c r="S93" s="20">
        <v>89</v>
      </c>
      <c r="T93" s="20">
        <f t="shared" si="16"/>
        <v>2024</v>
      </c>
      <c r="U93" s="112">
        <f t="shared" si="17"/>
        <v>22.606838799388392</v>
      </c>
      <c r="V93" s="21">
        <f t="shared" si="18"/>
        <v>9.2978788695098458E-2</v>
      </c>
      <c r="W93" s="113">
        <f t="shared" si="19"/>
        <v>7.1948089213471206E-2</v>
      </c>
      <c r="X93" s="22">
        <f t="shared" si="20"/>
        <v>7.688491592557542E-2</v>
      </c>
      <c r="Y93" s="46">
        <v>89</v>
      </c>
      <c r="Z93" s="114">
        <f t="shared" si="21"/>
        <v>5.3980048958511411</v>
      </c>
      <c r="AA93" s="115">
        <f t="shared" si="22"/>
        <v>5.983834828728674</v>
      </c>
      <c r="AB93" s="116">
        <f t="shared" si="23"/>
        <v>5.8465556536476742</v>
      </c>
    </row>
    <row r="94" spans="1:28" ht="15">
      <c r="A94" s="97">
        <v>90</v>
      </c>
      <c r="B94" s="98">
        <v>0.1587398521875</v>
      </c>
      <c r="C94" s="98">
        <v>0.16757978031250001</v>
      </c>
      <c r="D94" s="98">
        <v>1.7422247766252001E-2</v>
      </c>
      <c r="E94" s="98">
        <v>0.13638010187499999</v>
      </c>
      <c r="F94" s="98">
        <v>0.14250924653124999</v>
      </c>
      <c r="G94" s="99">
        <v>2.0962138081430399E-2</v>
      </c>
      <c r="H94" s="97">
        <v>90</v>
      </c>
      <c r="I94" s="98">
        <v>0.1587398521875</v>
      </c>
      <c r="J94" s="98">
        <v>0.16757978031250001</v>
      </c>
      <c r="K94" s="98">
        <v>1.04426925985987E-2</v>
      </c>
      <c r="L94" s="98">
        <v>0.140094735</v>
      </c>
      <c r="M94" s="98">
        <v>0.14250924653124999</v>
      </c>
      <c r="N94" s="99">
        <v>1.2666594853186599E-2</v>
      </c>
      <c r="O94" s="97">
        <v>90</v>
      </c>
      <c r="P94" s="98">
        <v>0.13988207123688901</v>
      </c>
      <c r="Q94" s="98">
        <v>0.146434997068739</v>
      </c>
      <c r="R94" s="98">
        <v>1.9516399267993801E-2</v>
      </c>
      <c r="S94" s="20">
        <v>90</v>
      </c>
      <c r="T94" s="20">
        <f t="shared" si="16"/>
        <v>2025</v>
      </c>
      <c r="U94" s="112">
        <f t="shared" si="17"/>
        <v>23.554498072086332</v>
      </c>
      <c r="V94" s="21">
        <f t="shared" si="18"/>
        <v>0.10530852879663344</v>
      </c>
      <c r="W94" s="113">
        <f t="shared" si="19"/>
        <v>8.3237104258511954E-2</v>
      </c>
      <c r="X94" s="22">
        <f t="shared" si="20"/>
        <v>8.833184873423662E-2</v>
      </c>
      <c r="Y94" s="46">
        <v>90</v>
      </c>
      <c r="Z94" s="114">
        <f t="shared" si="21"/>
        <v>5.0427983763520059</v>
      </c>
      <c r="AA94" s="115">
        <f t="shared" si="22"/>
        <v>5.5850197188700816</v>
      </c>
      <c r="AB94" s="116">
        <f t="shared" si="23"/>
        <v>5.4602269714262475</v>
      </c>
    </row>
    <row r="95" spans="1:28" ht="15">
      <c r="A95" s="97">
        <v>91</v>
      </c>
      <c r="B95" s="98">
        <v>0.17870285382125001</v>
      </c>
      <c r="C95" s="98">
        <v>0.18757627140874999</v>
      </c>
      <c r="D95" s="98">
        <v>1.64018198657374E-2</v>
      </c>
      <c r="E95" s="98">
        <v>0.15544510149374999</v>
      </c>
      <c r="F95" s="98">
        <v>0.16168890288656201</v>
      </c>
      <c r="G95" s="99">
        <v>1.9548347926702798E-2</v>
      </c>
      <c r="H95" s="97">
        <v>91</v>
      </c>
      <c r="I95" s="98">
        <v>0.17870285382125001</v>
      </c>
      <c r="J95" s="98">
        <v>0.18757627140874999</v>
      </c>
      <c r="K95" s="98">
        <v>9.2291127893980793E-3</v>
      </c>
      <c r="L95" s="98">
        <v>0.15922922354999999</v>
      </c>
      <c r="M95" s="98">
        <v>0.16168890288656201</v>
      </c>
      <c r="N95" s="99">
        <v>1.1595716182855599E-2</v>
      </c>
      <c r="O95" s="97">
        <v>91</v>
      </c>
      <c r="P95" s="98">
        <v>0.15896686413232</v>
      </c>
      <c r="Q95" s="98">
        <v>0.16558255519514201</v>
      </c>
      <c r="R95" s="98">
        <v>1.8282270774391599E-2</v>
      </c>
      <c r="S95" s="20">
        <v>91</v>
      </c>
      <c r="T95" s="20">
        <f t="shared" si="16"/>
        <v>2026</v>
      </c>
      <c r="U95" s="112">
        <f t="shared" si="17"/>
        <v>24.497866312686416</v>
      </c>
      <c r="V95" s="21">
        <f t="shared" si="18"/>
        <v>0.11957153381212131</v>
      </c>
      <c r="W95" s="113">
        <f t="shared" si="19"/>
        <v>9.6293402836403738E-2</v>
      </c>
      <c r="X95" s="22">
        <f t="shared" si="20"/>
        <v>0.10157720538183317</v>
      </c>
      <c r="Y95" s="46">
        <v>91</v>
      </c>
      <c r="Z95" s="114">
        <f t="shared" si="21"/>
        <v>4.6993968834317705</v>
      </c>
      <c r="AA95" s="115">
        <f t="shared" si="22"/>
        <v>5.2013672562174689</v>
      </c>
      <c r="AB95" s="116">
        <f t="shared" si="23"/>
        <v>5.0880751333070027</v>
      </c>
    </row>
    <row r="96" spans="1:28" ht="15">
      <c r="A96" s="97">
        <v>92</v>
      </c>
      <c r="B96" s="98">
        <v>0.20099785043999999</v>
      </c>
      <c r="C96" s="98">
        <v>0.20978357483999999</v>
      </c>
      <c r="D96" s="98">
        <v>1.5464080284085101E-2</v>
      </c>
      <c r="E96" s="98">
        <v>0.1767113226</v>
      </c>
      <c r="F96" s="98">
        <v>0.18297424178999999</v>
      </c>
      <c r="G96" s="99">
        <v>1.8165137947096701E-2</v>
      </c>
      <c r="H96" s="97">
        <v>92</v>
      </c>
      <c r="I96" s="98">
        <v>0.20099785043999999</v>
      </c>
      <c r="J96" s="98">
        <v>0.20978357483999999</v>
      </c>
      <c r="K96" s="98">
        <v>7.8911538544477796E-3</v>
      </c>
      <c r="L96" s="98">
        <v>0.1805070312</v>
      </c>
      <c r="M96" s="98">
        <v>0.18297424178999999</v>
      </c>
      <c r="N96" s="99">
        <v>1.04717808978843E-2</v>
      </c>
      <c r="O96" s="97">
        <v>92</v>
      </c>
      <c r="P96" s="98">
        <v>0.18033378027442101</v>
      </c>
      <c r="Q96" s="98">
        <v>0.186916562924928</v>
      </c>
      <c r="R96" s="98">
        <v>1.7092040344309199E-2</v>
      </c>
      <c r="S96" s="20">
        <v>92</v>
      </c>
      <c r="T96" s="20">
        <f t="shared" si="16"/>
        <v>2027</v>
      </c>
      <c r="U96" s="112">
        <f t="shared" si="17"/>
        <v>25.436805855326593</v>
      </c>
      <c r="V96" s="21">
        <f t="shared" si="18"/>
        <v>0.13563092442758878</v>
      </c>
      <c r="W96" s="113">
        <f t="shared" si="19"/>
        <v>0.11132505754033586</v>
      </c>
      <c r="X96" s="22">
        <f t="shared" si="20"/>
        <v>0.1167508943239617</v>
      </c>
      <c r="Y96" s="46">
        <v>92</v>
      </c>
      <c r="Z96" s="114">
        <f t="shared" si="21"/>
        <v>4.369886829565587</v>
      </c>
      <c r="AA96" s="115">
        <f t="shared" si="22"/>
        <v>4.8350006076974337</v>
      </c>
      <c r="AB96" s="116">
        <f t="shared" si="23"/>
        <v>4.7322910372573848</v>
      </c>
    </row>
    <row r="97" spans="1:28" ht="15">
      <c r="A97" s="97">
        <v>93</v>
      </c>
      <c r="B97" s="98">
        <v>0.22543725173812501</v>
      </c>
      <c r="C97" s="98">
        <v>0.233972935056875</v>
      </c>
      <c r="D97" s="98">
        <v>1.4489954800180799E-2</v>
      </c>
      <c r="E97" s="98">
        <v>0.200274594025</v>
      </c>
      <c r="F97" s="98">
        <v>0.20643719845375</v>
      </c>
      <c r="G97" s="99">
        <v>1.68608000159788E-2</v>
      </c>
      <c r="H97" s="97">
        <v>93</v>
      </c>
      <c r="I97" s="98">
        <v>0.22543725173812501</v>
      </c>
      <c r="J97" s="98">
        <v>0.233972935056875</v>
      </c>
      <c r="K97" s="98">
        <v>6.5022621995341704E-3</v>
      </c>
      <c r="L97" s="98">
        <v>0.20400950579999999</v>
      </c>
      <c r="M97" s="98">
        <v>0.20643719845375</v>
      </c>
      <c r="N97" s="99">
        <v>9.2973292122596404E-3</v>
      </c>
      <c r="O97" s="97">
        <v>93</v>
      </c>
      <c r="P97" s="98">
        <v>0.20389653402899099</v>
      </c>
      <c r="Q97" s="98">
        <v>0.21031505237999501</v>
      </c>
      <c r="R97" s="98">
        <v>1.5929963482809999E-2</v>
      </c>
      <c r="S97" s="20">
        <v>93</v>
      </c>
      <c r="T97" s="20">
        <f t="shared" si="16"/>
        <v>2028</v>
      </c>
      <c r="U97" s="112">
        <f t="shared" si="17"/>
        <v>26.371183446226613</v>
      </c>
      <c r="V97" s="21">
        <f t="shared" si="18"/>
        <v>0.15384176916628445</v>
      </c>
      <c r="W97" s="113">
        <f t="shared" si="19"/>
        <v>0.12838712899249236</v>
      </c>
      <c r="X97" s="22">
        <f t="shared" si="20"/>
        <v>0.13395724605539275</v>
      </c>
      <c r="Y97" s="46">
        <v>93</v>
      </c>
      <c r="Z97" s="114">
        <f t="shared" si="21"/>
        <v>4.0546132454210078</v>
      </c>
      <c r="AA97" s="115">
        <f t="shared" si="22"/>
        <v>4.4880309339726434</v>
      </c>
      <c r="AB97" s="116">
        <f t="shared" si="23"/>
        <v>4.394663582225447</v>
      </c>
    </row>
    <row r="98" spans="1:28" ht="15">
      <c r="A98" s="97">
        <v>94</v>
      </c>
      <c r="B98" s="98">
        <v>0.25180064568749999</v>
      </c>
      <c r="C98" s="98">
        <v>0.25988775881249998</v>
      </c>
      <c r="D98" s="98">
        <v>1.3442692598598699E-2</v>
      </c>
      <c r="E98" s="98">
        <v>0.22604776292500001</v>
      </c>
      <c r="F98" s="98">
        <v>0.23196129638874999</v>
      </c>
      <c r="G98" s="99">
        <v>1.56665948531866E-2</v>
      </c>
      <c r="H98" s="97">
        <v>94</v>
      </c>
      <c r="I98" s="98">
        <v>0.25180064568749999</v>
      </c>
      <c r="J98" s="98">
        <v>0.25988775881249998</v>
      </c>
      <c r="K98" s="98">
        <v>5.3270032619554403E-3</v>
      </c>
      <c r="L98" s="98">
        <v>0.2296317226</v>
      </c>
      <c r="M98" s="98">
        <v>0.23196129638874999</v>
      </c>
      <c r="N98" s="99">
        <v>8.1389988591785995E-3</v>
      </c>
      <c r="O98" s="97">
        <v>94</v>
      </c>
      <c r="P98" s="98">
        <v>0.22945396341534099</v>
      </c>
      <c r="Q98" s="98">
        <v>0.23553894169970299</v>
      </c>
      <c r="R98" s="98">
        <v>1.48065210566989E-2</v>
      </c>
      <c r="S98" s="20">
        <v>94</v>
      </c>
      <c r="T98" s="20">
        <f t="shared" si="16"/>
        <v>2029</v>
      </c>
      <c r="U98" s="112">
        <f t="shared" si="17"/>
        <v>27.300870308671062</v>
      </c>
      <c r="V98" s="21">
        <f t="shared" si="18"/>
        <v>0.17445040315923643</v>
      </c>
      <c r="W98" s="113">
        <f t="shared" si="19"/>
        <v>0.14738300035057184</v>
      </c>
      <c r="X98" s="22">
        <f t="shared" si="20"/>
        <v>0.15315821976089714</v>
      </c>
      <c r="Y98" s="46">
        <v>94</v>
      </c>
      <c r="Z98" s="114">
        <f t="shared" si="21"/>
        <v>3.7543779159457742</v>
      </c>
      <c r="AA98" s="115">
        <f t="shared" si="22"/>
        <v>4.1618845843091083</v>
      </c>
      <c r="AB98" s="116">
        <f t="shared" si="23"/>
        <v>4.0765309904553231</v>
      </c>
    </row>
    <row r="99" spans="1:28" ht="15">
      <c r="A99" s="97">
        <v>95</v>
      </c>
      <c r="B99" s="98">
        <v>0.27991570492187501</v>
      </c>
      <c r="C99" s="98">
        <v>0.28732741820312502</v>
      </c>
      <c r="D99" s="98">
        <v>1.2229112789398099E-2</v>
      </c>
      <c r="E99" s="98">
        <v>0.253763755859375</v>
      </c>
      <c r="F99" s="98">
        <v>0.259249042285156</v>
      </c>
      <c r="G99" s="99">
        <v>1.45957161828556E-2</v>
      </c>
      <c r="H99" s="97">
        <v>95</v>
      </c>
      <c r="I99" s="98">
        <v>0.27991570492187501</v>
      </c>
      <c r="J99" s="98">
        <v>0.28732741820312502</v>
      </c>
      <c r="K99" s="98">
        <v>4.3123469727464501E-3</v>
      </c>
      <c r="L99" s="98">
        <v>0.25708817187499999</v>
      </c>
      <c r="M99" s="98">
        <v>0.259249042285156</v>
      </c>
      <c r="N99" s="99">
        <v>7.0141395067454104E-3</v>
      </c>
      <c r="O99" s="97">
        <v>95</v>
      </c>
      <c r="P99" s="98">
        <v>0.25657137019752102</v>
      </c>
      <c r="Q99" s="98">
        <v>0.26210626173492702</v>
      </c>
      <c r="R99" s="98">
        <v>1.3699500972249199E-2</v>
      </c>
      <c r="S99" s="20">
        <v>95</v>
      </c>
      <c r="T99" s="20">
        <f t="shared" si="16"/>
        <v>2030</v>
      </c>
      <c r="U99" s="112">
        <f t="shared" si="17"/>
        <v>28.225742198149113</v>
      </c>
      <c r="V99" s="21">
        <f t="shared" si="18"/>
        <v>0.19820715459247873</v>
      </c>
      <c r="W99" s="113">
        <f t="shared" si="19"/>
        <v>0.16807811086848853</v>
      </c>
      <c r="X99" s="22">
        <f t="shared" si="20"/>
        <v>0.17429134396791823</v>
      </c>
      <c r="Y99" s="46">
        <v>95</v>
      </c>
      <c r="Z99" s="114">
        <f t="shared" si="21"/>
        <v>3.4698739403977155</v>
      </c>
      <c r="AA99" s="115">
        <f t="shared" si="22"/>
        <v>3.85678442845211</v>
      </c>
      <c r="AB99" s="116">
        <f t="shared" si="23"/>
        <v>3.7782644937170464</v>
      </c>
    </row>
    <row r="100" spans="1:28" ht="15">
      <c r="A100" s="97">
        <v>96</v>
      </c>
      <c r="B100" s="98">
        <v>0.30968930028000002</v>
      </c>
      <c r="C100" s="98">
        <v>0.31617744308000001</v>
      </c>
      <c r="D100" s="98">
        <v>1.08911538544478E-2</v>
      </c>
      <c r="E100" s="98">
        <v>0.28307140359999999</v>
      </c>
      <c r="F100" s="98">
        <v>0.28792339294000002</v>
      </c>
      <c r="G100" s="99">
        <v>1.3471780897884301E-2</v>
      </c>
      <c r="H100" s="97">
        <v>96</v>
      </c>
      <c r="I100" s="98">
        <v>0.30968930028000002</v>
      </c>
      <c r="J100" s="98">
        <v>0.31617744308000001</v>
      </c>
      <c r="K100" s="98">
        <v>3.2976906835374699E-3</v>
      </c>
      <c r="L100" s="98">
        <v>0.28601200319999998</v>
      </c>
      <c r="M100" s="98">
        <v>0.28792339294000002</v>
      </c>
      <c r="N100" s="99">
        <v>5.8892801543122299E-3</v>
      </c>
      <c r="O100" s="97">
        <v>96</v>
      </c>
      <c r="P100" s="98">
        <v>0.28508760827958401</v>
      </c>
      <c r="Q100" s="98">
        <v>0.28984459376292099</v>
      </c>
      <c r="R100" s="98">
        <v>1.2516145836446E-2</v>
      </c>
      <c r="S100" s="20">
        <v>96</v>
      </c>
      <c r="T100" s="20">
        <f t="shared" ref="T100:T131" si="24">$V$1+S100</f>
        <v>2031</v>
      </c>
      <c r="U100" s="112">
        <f t="shared" ref="U100:U131" si="25">100*ATAN((T100-2001)/100)</f>
        <v>29.145679447786708</v>
      </c>
      <c r="V100" s="21">
        <f t="shared" ref="V100:V125" si="26">B100*EXP(-D100*$U100)</f>
        <v>0.22545925576852222</v>
      </c>
      <c r="W100" s="113">
        <f t="shared" ref="W100:W125" si="27">E100*EXP(-G100*$U100)</f>
        <v>0.1911493324243565</v>
      </c>
      <c r="X100" s="22">
        <f t="shared" ref="X100:X125" si="28">P100*EXP(-R100*$U100)</f>
        <v>0.19794811601608084</v>
      </c>
      <c r="Y100" s="46">
        <v>96</v>
      </c>
      <c r="Z100" s="114">
        <f t="shared" ref="Z100:Z125" si="29">1+(1-V100)*$AB$1*Z101</f>
        <v>3.203656546359011</v>
      </c>
      <c r="AA100" s="115">
        <f t="shared" ref="AA100:AA125" si="30">1+(1-W100)*$AB$1*AA101</f>
        <v>3.5713158223205808</v>
      </c>
      <c r="AB100" s="116">
        <f t="shared" ref="AB100:AB125" si="31">1+(1-X100)*$AB$1*AB101</f>
        <v>3.499291248017951</v>
      </c>
    </row>
    <row r="101" spans="1:28" ht="15">
      <c r="A101" s="97">
        <v>97</v>
      </c>
      <c r="B101" s="98">
        <v>0.34109038305875</v>
      </c>
      <c r="C101" s="98">
        <v>0.34638977427125001</v>
      </c>
      <c r="D101" s="98">
        <v>9.5022621995341696E-3</v>
      </c>
      <c r="E101" s="98">
        <v>0.31397077732500001</v>
      </c>
      <c r="F101" s="98">
        <v>0.31797030814874999</v>
      </c>
      <c r="G101" s="99">
        <v>1.22973292122596E-2</v>
      </c>
      <c r="H101" s="97">
        <v>97</v>
      </c>
      <c r="I101" s="98">
        <v>0.34109038305875</v>
      </c>
      <c r="J101" s="98">
        <v>0.34638977427125001</v>
      </c>
      <c r="K101" s="98">
        <v>2.2830343943284902E-3</v>
      </c>
      <c r="L101" s="98">
        <v>0.31639473540000002</v>
      </c>
      <c r="M101" s="98">
        <v>0.31797030814874999</v>
      </c>
      <c r="N101" s="99">
        <v>4.7644208018790503E-3</v>
      </c>
      <c r="O101" s="97">
        <v>97</v>
      </c>
      <c r="P101" s="98">
        <v>0.31506661237043199</v>
      </c>
      <c r="Q101" s="98">
        <v>0.318812728117225</v>
      </c>
      <c r="R101" s="98">
        <v>1.12886903699506E-2</v>
      </c>
      <c r="S101" s="20">
        <v>97</v>
      </c>
      <c r="T101" s="20">
        <f t="shared" si="24"/>
        <v>2032</v>
      </c>
      <c r="U101" s="112">
        <f t="shared" si="25"/>
        <v>30.060567004239541</v>
      </c>
      <c r="V101" s="21">
        <f t="shared" si="26"/>
        <v>0.25633985062528364</v>
      </c>
      <c r="W101" s="113">
        <f t="shared" si="27"/>
        <v>0.21694312598973453</v>
      </c>
      <c r="X101" s="22">
        <f t="shared" si="28"/>
        <v>0.22440212674033147</v>
      </c>
      <c r="Y101" s="46">
        <v>97</v>
      </c>
      <c r="Z101" s="114">
        <f t="shared" si="29"/>
        <v>2.9589183335827816</v>
      </c>
      <c r="AA101" s="115">
        <f t="shared" si="30"/>
        <v>3.3061337060259235</v>
      </c>
      <c r="AB101" s="116">
        <f t="shared" si="31"/>
        <v>3.2407665262597694</v>
      </c>
    </row>
    <row r="102" spans="1:28" ht="15">
      <c r="A102" s="97">
        <v>98</v>
      </c>
      <c r="B102" s="98">
        <v>0.37410301631249998</v>
      </c>
      <c r="C102" s="98">
        <v>0.37793352318750001</v>
      </c>
      <c r="D102" s="98">
        <v>8.3270032619554395E-3</v>
      </c>
      <c r="E102" s="98">
        <v>0.3465236987375</v>
      </c>
      <c r="F102" s="98">
        <v>0.34943895563562499</v>
      </c>
      <c r="G102" s="99">
        <v>1.11389988591786E-2</v>
      </c>
      <c r="H102" s="97">
        <v>98</v>
      </c>
      <c r="I102" s="98">
        <v>0.37410301631249998</v>
      </c>
      <c r="J102" s="98">
        <v>0.37793352318750001</v>
      </c>
      <c r="K102" s="98">
        <v>1.2683781051195E-3</v>
      </c>
      <c r="L102" s="98">
        <v>0.34829052109999997</v>
      </c>
      <c r="M102" s="98">
        <v>0.34943895563562499</v>
      </c>
      <c r="N102" s="99">
        <v>3.6395614494458598E-3</v>
      </c>
      <c r="O102" s="97">
        <v>98</v>
      </c>
      <c r="P102" s="98">
        <v>0.34695495837205198</v>
      </c>
      <c r="Q102" s="98">
        <v>0.34948049670324499</v>
      </c>
      <c r="R102" s="98">
        <v>1.0159485819819101E-2</v>
      </c>
      <c r="S102" s="20">
        <v>98</v>
      </c>
      <c r="T102" s="20">
        <f t="shared" si="24"/>
        <v>2033</v>
      </c>
      <c r="U102" s="112">
        <f t="shared" si="25"/>
        <v>30.970294454245622</v>
      </c>
      <c r="V102" s="21">
        <f t="shared" si="26"/>
        <v>0.28906207609636064</v>
      </c>
      <c r="W102" s="113">
        <f t="shared" si="27"/>
        <v>0.24542051729026915</v>
      </c>
      <c r="X102" s="22">
        <f t="shared" si="28"/>
        <v>0.25329446398842903</v>
      </c>
      <c r="Y102" s="46">
        <v>98</v>
      </c>
      <c r="Z102" s="114">
        <f t="shared" si="29"/>
        <v>2.7395243225538879</v>
      </c>
      <c r="AA102" s="115">
        <f t="shared" si="30"/>
        <v>3.0628414536279509</v>
      </c>
      <c r="AB102" s="116">
        <f t="shared" si="31"/>
        <v>3.0046461802635038</v>
      </c>
    </row>
    <row r="103" spans="1:28" ht="15">
      <c r="A103" s="97">
        <v>99</v>
      </c>
      <c r="B103" s="98">
        <v>0.408722595391875</v>
      </c>
      <c r="C103" s="98">
        <v>0.41079069837312499</v>
      </c>
      <c r="D103" s="98">
        <v>7.3123469727464502E-3</v>
      </c>
      <c r="E103" s="98">
        <v>0.38073071202187497</v>
      </c>
      <c r="F103" s="98">
        <v>0.38231683648453102</v>
      </c>
      <c r="G103" s="99">
        <v>1.0014139506745399E-2</v>
      </c>
      <c r="H103" s="97">
        <v>99</v>
      </c>
      <c r="I103" s="98">
        <v>0.408722595391875</v>
      </c>
      <c r="J103" s="98">
        <v>0.41079069837312499</v>
      </c>
      <c r="K103" s="98">
        <v>2.5372181591051899E-4</v>
      </c>
      <c r="L103" s="98">
        <v>0.381691999575</v>
      </c>
      <c r="M103" s="98">
        <v>0.38231683648453102</v>
      </c>
      <c r="N103" s="99">
        <v>2.5147020970126802E-3</v>
      </c>
      <c r="O103" s="97">
        <v>99</v>
      </c>
      <c r="P103" s="98">
        <v>0.38075917182014002</v>
      </c>
      <c r="Q103" s="98">
        <v>0.38184500628003099</v>
      </c>
      <c r="R103" s="98">
        <v>9.1155104340108397E-3</v>
      </c>
      <c r="S103" s="20">
        <v>99</v>
      </c>
      <c r="T103" s="20">
        <f t="shared" si="24"/>
        <v>2034</v>
      </c>
      <c r="U103" s="112">
        <f t="shared" si="25"/>
        <v>31.874756042064444</v>
      </c>
      <c r="V103" s="21">
        <f t="shared" si="26"/>
        <v>0.32374539831043414</v>
      </c>
      <c r="W103" s="113">
        <f t="shared" si="27"/>
        <v>0.27668898537218989</v>
      </c>
      <c r="X103" s="22">
        <f t="shared" si="28"/>
        <v>0.28475022970789371</v>
      </c>
      <c r="Y103" s="46">
        <v>99</v>
      </c>
      <c r="Z103" s="114">
        <f t="shared" si="29"/>
        <v>2.5446740631341673</v>
      </c>
      <c r="AA103" s="115">
        <f t="shared" si="30"/>
        <v>2.843113496896307</v>
      </c>
      <c r="AB103" s="116">
        <f t="shared" si="31"/>
        <v>2.7920404053917953</v>
      </c>
    </row>
    <row r="104" spans="1:28" ht="15">
      <c r="A104" s="97">
        <v>100</v>
      </c>
      <c r="B104" s="98">
        <v>0.44494210000000001</v>
      </c>
      <c r="C104" s="98">
        <v>0.44494210000000001</v>
      </c>
      <c r="D104" s="98">
        <v>6.3649410229364902E-3</v>
      </c>
      <c r="E104" s="98">
        <v>0.4165604</v>
      </c>
      <c r="F104" s="98">
        <v>0.4165604</v>
      </c>
      <c r="G104" s="99">
        <v>8.9501557532365803E-3</v>
      </c>
      <c r="H104" s="97">
        <v>100</v>
      </c>
      <c r="I104" s="98">
        <v>0.44494210000000001</v>
      </c>
      <c r="J104" s="98">
        <v>0.44494210000000001</v>
      </c>
      <c r="K104" s="98">
        <v>0</v>
      </c>
      <c r="L104" s="98">
        <v>0.4165604</v>
      </c>
      <c r="M104" s="98">
        <v>0.4165604</v>
      </c>
      <c r="N104" s="99">
        <v>1.3898427445794999E-3</v>
      </c>
      <c r="O104" s="97">
        <v>100</v>
      </c>
      <c r="P104" s="98">
        <v>0.41627359925774499</v>
      </c>
      <c r="Q104" s="98">
        <v>0.41567825202936098</v>
      </c>
      <c r="R104" s="98">
        <v>8.1374413739061808E-3</v>
      </c>
      <c r="S104" s="20">
        <v>100</v>
      </c>
      <c r="T104" s="20">
        <f t="shared" si="24"/>
        <v>2035</v>
      </c>
      <c r="U104" s="112">
        <f t="shared" si="25"/>
        <v>32.773850678055553</v>
      </c>
      <c r="V104" s="21">
        <f t="shared" si="26"/>
        <v>0.36116702869045042</v>
      </c>
      <c r="W104" s="113">
        <f t="shared" si="27"/>
        <v>0.31066041452582177</v>
      </c>
      <c r="X104" s="22">
        <f t="shared" si="28"/>
        <v>0.31882662065480533</v>
      </c>
      <c r="Y104" s="46">
        <v>100</v>
      </c>
      <c r="Z104" s="114">
        <f t="shared" si="29"/>
        <v>2.3755269415482347</v>
      </c>
      <c r="AA104" s="115">
        <f t="shared" si="30"/>
        <v>2.6500882718597829</v>
      </c>
      <c r="AB104" s="116">
        <f t="shared" si="31"/>
        <v>2.6056939813435069</v>
      </c>
    </row>
    <row r="105" spans="1:28" ht="15">
      <c r="A105" s="97">
        <v>101</v>
      </c>
      <c r="B105" s="98">
        <v>0.4710857</v>
      </c>
      <c r="C105" s="98">
        <v>0.4710857</v>
      </c>
      <c r="D105" s="98">
        <v>5.5402833558708597E-3</v>
      </c>
      <c r="E105" s="98">
        <v>0.44385239999999998</v>
      </c>
      <c r="F105" s="98">
        <v>0.44385239999999998</v>
      </c>
      <c r="G105" s="99">
        <v>7.9992183006074302E-3</v>
      </c>
      <c r="H105" s="97">
        <v>101</v>
      </c>
      <c r="I105" s="98">
        <v>0.4710857</v>
      </c>
      <c r="J105" s="98">
        <v>0.4710857</v>
      </c>
      <c r="K105" s="98">
        <v>0</v>
      </c>
      <c r="L105" s="98">
        <v>0.44385239999999998</v>
      </c>
      <c r="M105" s="98">
        <v>0.44385239999999998</v>
      </c>
      <c r="N105" s="99">
        <v>2.64983392146312E-4</v>
      </c>
      <c r="O105" s="97">
        <v>101</v>
      </c>
      <c r="P105" s="98">
        <v>0.44326874786543602</v>
      </c>
      <c r="Q105" s="98">
        <v>0.44270023488933502</v>
      </c>
      <c r="R105" s="98">
        <v>7.2801265018959203E-3</v>
      </c>
      <c r="S105" s="20">
        <v>101</v>
      </c>
      <c r="T105" s="20">
        <f t="shared" si="24"/>
        <v>2036</v>
      </c>
      <c r="U105" s="112">
        <f t="shared" si="25"/>
        <v>33.667481938672715</v>
      </c>
      <c r="V105" s="21">
        <f t="shared" si="26"/>
        <v>0.39092379407927791</v>
      </c>
      <c r="W105" s="113">
        <f t="shared" si="27"/>
        <v>0.33906049306238512</v>
      </c>
      <c r="X105" s="22">
        <f t="shared" si="28"/>
        <v>0.34691254376273462</v>
      </c>
      <c r="Y105" s="46">
        <v>101</v>
      </c>
      <c r="Z105" s="114">
        <f t="shared" si="29"/>
        <v>2.2393146306736029</v>
      </c>
      <c r="AA105" s="115">
        <f t="shared" si="30"/>
        <v>2.4894722991335554</v>
      </c>
      <c r="AB105" s="116">
        <f t="shared" si="31"/>
        <v>2.4515369966491161</v>
      </c>
    </row>
    <row r="106" spans="1:28" ht="15">
      <c r="A106" s="97">
        <v>102</v>
      </c>
      <c r="B106" s="98">
        <v>0.49725659999999999</v>
      </c>
      <c r="C106" s="98">
        <v>0.49725659999999999</v>
      </c>
      <c r="D106" s="98">
        <v>4.8224703972478498E-3</v>
      </c>
      <c r="E106" s="98">
        <v>0.47117690000000001</v>
      </c>
      <c r="F106" s="98">
        <v>0.47117690000000001</v>
      </c>
      <c r="G106" s="99">
        <v>7.1493161890097299E-3</v>
      </c>
      <c r="H106" s="97">
        <v>102</v>
      </c>
      <c r="I106" s="98">
        <v>0.49725659999999999</v>
      </c>
      <c r="J106" s="98">
        <v>0.49725659999999999</v>
      </c>
      <c r="K106" s="98">
        <v>0</v>
      </c>
      <c r="L106" s="98">
        <v>0.47117690000000001</v>
      </c>
      <c r="M106" s="98">
        <v>0.47117690000000001</v>
      </c>
      <c r="N106" s="99">
        <v>0</v>
      </c>
      <c r="O106" s="97">
        <v>102</v>
      </c>
      <c r="P106" s="98">
        <v>0.47045938012113903</v>
      </c>
      <c r="Q106" s="98">
        <v>0.46992409015209102</v>
      </c>
      <c r="R106" s="98">
        <v>6.52378025211318E-3</v>
      </c>
      <c r="S106" s="20">
        <v>102</v>
      </c>
      <c r="T106" s="20">
        <f t="shared" si="24"/>
        <v>2037</v>
      </c>
      <c r="U106" s="112">
        <f t="shared" si="25"/>
        <v>34.555558058171215</v>
      </c>
      <c r="V106" s="21">
        <f t="shared" si="26"/>
        <v>0.42092852076095594</v>
      </c>
      <c r="W106" s="113">
        <f t="shared" si="27"/>
        <v>0.3680375594637697</v>
      </c>
      <c r="X106" s="22">
        <f t="shared" si="28"/>
        <v>0.37550686548079659</v>
      </c>
      <c r="Y106" s="46">
        <v>102</v>
      </c>
      <c r="Z106" s="114">
        <f t="shared" si="29"/>
        <v>2.1161345712925614</v>
      </c>
      <c r="AA106" s="115">
        <f t="shared" si="30"/>
        <v>2.3437109975105641</v>
      </c>
      <c r="AB106" s="116">
        <f t="shared" si="31"/>
        <v>2.3114798211139531</v>
      </c>
    </row>
    <row r="107" spans="1:28" ht="15">
      <c r="A107" s="97">
        <v>103</v>
      </c>
      <c r="B107" s="98">
        <v>0.52343419999999996</v>
      </c>
      <c r="C107" s="98">
        <v>0.52343419999999996</v>
      </c>
      <c r="D107" s="98">
        <v>4.1976590796006701E-3</v>
      </c>
      <c r="E107" s="98">
        <v>0.49850369999999999</v>
      </c>
      <c r="F107" s="98">
        <v>0.49850369999999999</v>
      </c>
      <c r="G107" s="99">
        <v>6.3897146008073504E-3</v>
      </c>
      <c r="H107" s="97">
        <v>103</v>
      </c>
      <c r="I107" s="98">
        <v>0.52343419999999996</v>
      </c>
      <c r="J107" s="98">
        <v>0.52343419999999996</v>
      </c>
      <c r="K107" s="98">
        <v>0</v>
      </c>
      <c r="L107" s="98">
        <v>0.49850369999999999</v>
      </c>
      <c r="M107" s="98">
        <v>0.49850369999999999</v>
      </c>
      <c r="N107" s="99">
        <v>0</v>
      </c>
      <c r="O107" s="97">
        <v>103</v>
      </c>
      <c r="P107" s="98">
        <v>0.49779678622371099</v>
      </c>
      <c r="Q107" s="98">
        <v>0.49729988439311501</v>
      </c>
      <c r="R107" s="98">
        <v>5.85486471486298E-3</v>
      </c>
      <c r="S107" s="20">
        <v>103</v>
      </c>
      <c r="T107" s="20">
        <f t="shared" si="24"/>
        <v>2038</v>
      </c>
      <c r="U107" s="112">
        <f t="shared" si="25"/>
        <v>35.437991912343783</v>
      </c>
      <c r="V107" s="21">
        <f t="shared" si="26"/>
        <v>0.45108451717303405</v>
      </c>
      <c r="W107" s="113">
        <f t="shared" si="27"/>
        <v>0.397491025823768</v>
      </c>
      <c r="X107" s="22">
        <f t="shared" si="28"/>
        <v>0.40452247021163412</v>
      </c>
      <c r="Y107" s="46">
        <v>103</v>
      </c>
      <c r="Z107" s="114">
        <f t="shared" si="29"/>
        <v>2.0045538344759111</v>
      </c>
      <c r="AA107" s="115">
        <f t="shared" si="30"/>
        <v>2.2113014125099268</v>
      </c>
      <c r="AB107" s="116">
        <f t="shared" si="31"/>
        <v>2.1840736728172461</v>
      </c>
    </row>
    <row r="108" spans="1:28" ht="15">
      <c r="A108" s="97">
        <v>104</v>
      </c>
      <c r="B108" s="98">
        <v>0.54961210000000005</v>
      </c>
      <c r="C108" s="98">
        <v>0.54961210000000005</v>
      </c>
      <c r="D108" s="98">
        <v>3.6537998778820501E-3</v>
      </c>
      <c r="E108" s="98">
        <v>0.52582960000000001</v>
      </c>
      <c r="F108" s="98">
        <v>0.52582960000000001</v>
      </c>
      <c r="G108" s="99">
        <v>5.7108192728325602E-3</v>
      </c>
      <c r="H108" s="97">
        <v>104</v>
      </c>
      <c r="I108" s="98">
        <v>0.54961210000000005</v>
      </c>
      <c r="J108" s="98">
        <v>0.54961210000000005</v>
      </c>
      <c r="K108" s="98">
        <v>0</v>
      </c>
      <c r="L108" s="98">
        <v>0.52582960000000001</v>
      </c>
      <c r="M108" s="98">
        <v>0.52582960000000001</v>
      </c>
      <c r="N108" s="99">
        <v>0</v>
      </c>
      <c r="O108" s="97">
        <v>104</v>
      </c>
      <c r="P108" s="98">
        <v>0.52524964029142096</v>
      </c>
      <c r="Q108" s="98">
        <v>0.52479497842798695</v>
      </c>
      <c r="R108" s="98">
        <v>5.2615271279864697E-3</v>
      </c>
      <c r="S108" s="20">
        <v>104</v>
      </c>
      <c r="T108" s="20">
        <f t="shared" si="24"/>
        <v>2039</v>
      </c>
      <c r="U108" s="112">
        <f t="shared" si="25"/>
        <v>36.314700994617624</v>
      </c>
      <c r="V108" s="21">
        <f t="shared" si="26"/>
        <v>0.48131700477807104</v>
      </c>
      <c r="W108" s="113">
        <f t="shared" si="27"/>
        <v>0.42734451369082804</v>
      </c>
      <c r="X108" s="22">
        <f t="shared" si="28"/>
        <v>0.43389513065381685</v>
      </c>
      <c r="Y108" s="46">
        <v>104</v>
      </c>
      <c r="Z108" s="114">
        <f t="shared" si="29"/>
        <v>1.9032729455442927</v>
      </c>
      <c r="AA108" s="115">
        <f t="shared" si="30"/>
        <v>2.0908459840497748</v>
      </c>
      <c r="AB108" s="116">
        <f t="shared" si="31"/>
        <v>2.067981675425421</v>
      </c>
    </row>
    <row r="109" spans="1:28" ht="15">
      <c r="A109" s="97">
        <v>105</v>
      </c>
      <c r="B109" s="98">
        <v>0.57579000000000002</v>
      </c>
      <c r="C109" s="98">
        <v>0.57579000000000002</v>
      </c>
      <c r="D109" s="98">
        <v>3.1804044336256302E-3</v>
      </c>
      <c r="E109" s="98">
        <v>0.5531587</v>
      </c>
      <c r="F109" s="98">
        <v>0.5531587</v>
      </c>
      <c r="G109" s="99">
        <v>5.1040553145887003E-3</v>
      </c>
      <c r="H109" s="97">
        <v>105</v>
      </c>
      <c r="I109" s="98">
        <v>0.57579000000000002</v>
      </c>
      <c r="J109" s="98">
        <v>0.57579000000000002</v>
      </c>
      <c r="K109" s="98">
        <v>0</v>
      </c>
      <c r="L109" s="98">
        <v>0.5531587</v>
      </c>
      <c r="M109" s="98">
        <v>0.5531587</v>
      </c>
      <c r="N109" s="99">
        <v>0</v>
      </c>
      <c r="O109" s="97">
        <v>105</v>
      </c>
      <c r="P109" s="98">
        <v>0.55278922695617605</v>
      </c>
      <c r="Q109" s="98">
        <v>0.55237926467231901</v>
      </c>
      <c r="R109" s="98">
        <v>4.7334720201975596E-3</v>
      </c>
      <c r="S109" s="20">
        <v>105</v>
      </c>
      <c r="T109" s="20">
        <f t="shared" si="24"/>
        <v>2040</v>
      </c>
      <c r="U109" s="112">
        <f t="shared" si="25"/>
        <v>37.18560738485813</v>
      </c>
      <c r="V109" s="21">
        <f t="shared" si="26"/>
        <v>0.51156657856419852</v>
      </c>
      <c r="W109" s="113">
        <f t="shared" si="27"/>
        <v>0.45753232751814049</v>
      </c>
      <c r="X109" s="22">
        <f t="shared" si="28"/>
        <v>0.46357109105926425</v>
      </c>
      <c r="Y109" s="46">
        <v>105</v>
      </c>
      <c r="Z109" s="114">
        <f t="shared" si="29"/>
        <v>1.8111329502215929</v>
      </c>
      <c r="AA109" s="115">
        <f t="shared" si="30"/>
        <v>1.9810860989451342</v>
      </c>
      <c r="AB109" s="116">
        <f t="shared" si="31"/>
        <v>1.9620056328524966</v>
      </c>
    </row>
    <row r="110" spans="1:28" ht="15">
      <c r="A110" s="97">
        <v>106</v>
      </c>
      <c r="B110" s="98">
        <v>0.60196850000000002</v>
      </c>
      <c r="C110" s="98">
        <v>0.60196850000000002</v>
      </c>
      <c r="D110" s="98">
        <v>2.76834328630193E-3</v>
      </c>
      <c r="E110" s="98">
        <v>0.58048900000000003</v>
      </c>
      <c r="F110" s="98">
        <v>0.58048900000000003</v>
      </c>
      <c r="G110" s="99">
        <v>4.5617589017941003E-3</v>
      </c>
      <c r="H110" s="97">
        <v>106</v>
      </c>
      <c r="I110" s="98">
        <v>0.60196850000000002</v>
      </c>
      <c r="J110" s="98">
        <v>0.60196850000000002</v>
      </c>
      <c r="K110" s="98">
        <v>0</v>
      </c>
      <c r="L110" s="98">
        <v>0.58048900000000003</v>
      </c>
      <c r="M110" s="98">
        <v>0.58048900000000003</v>
      </c>
      <c r="N110" s="99">
        <v>0</v>
      </c>
      <c r="O110" s="97">
        <v>106</v>
      </c>
      <c r="P110" s="98">
        <v>0.58038008496334803</v>
      </c>
      <c r="Q110" s="98">
        <v>0.58001585949646195</v>
      </c>
      <c r="R110" s="98">
        <v>4.2618516269906396E-3</v>
      </c>
      <c r="S110" s="20">
        <v>106</v>
      </c>
      <c r="T110" s="20">
        <f t="shared" si="24"/>
        <v>2041</v>
      </c>
      <c r="U110" s="112">
        <f t="shared" si="25"/>
        <v>38.05063771123649</v>
      </c>
      <c r="V110" s="21">
        <f t="shared" si="26"/>
        <v>0.5417842670390971</v>
      </c>
      <c r="W110" s="113">
        <f t="shared" si="27"/>
        <v>0.48798907410748121</v>
      </c>
      <c r="X110" s="22">
        <f t="shared" si="28"/>
        <v>0.49349712621175085</v>
      </c>
      <c r="Y110" s="46">
        <v>106</v>
      </c>
      <c r="Z110" s="114">
        <f t="shared" si="29"/>
        <v>1.7271100444983261</v>
      </c>
      <c r="AA110" s="115">
        <f t="shared" si="30"/>
        <v>1.8809038670171816</v>
      </c>
      <c r="AB110" s="116">
        <f t="shared" si="31"/>
        <v>1.8650856460033356</v>
      </c>
    </row>
    <row r="111" spans="1:28" ht="15">
      <c r="A111" s="97">
        <v>107</v>
      </c>
      <c r="B111" s="98">
        <v>0.62814800000000004</v>
      </c>
      <c r="C111" s="98">
        <v>0.62814800000000004</v>
      </c>
      <c r="D111" s="98">
        <v>2.4096698111052499E-3</v>
      </c>
      <c r="E111" s="98">
        <v>0.60781940000000001</v>
      </c>
      <c r="F111" s="98">
        <v>0.60781940000000001</v>
      </c>
      <c r="G111" s="99">
        <v>4.07708047728604E-3</v>
      </c>
      <c r="H111" s="97">
        <v>107</v>
      </c>
      <c r="I111" s="98">
        <v>0.62814800000000004</v>
      </c>
      <c r="J111" s="98">
        <v>0.62814800000000004</v>
      </c>
      <c r="K111" s="98">
        <v>0</v>
      </c>
      <c r="L111" s="98">
        <v>0.60781940000000001</v>
      </c>
      <c r="M111" s="98">
        <v>0.60781940000000001</v>
      </c>
      <c r="N111" s="99">
        <v>0</v>
      </c>
      <c r="O111" s="97">
        <v>107</v>
      </c>
      <c r="P111" s="98">
        <v>0.60798902576568403</v>
      </c>
      <c r="Q111" s="98">
        <v>0.60767024053209395</v>
      </c>
      <c r="R111" s="98">
        <v>3.83916591620815E-3</v>
      </c>
      <c r="S111" s="20">
        <v>107</v>
      </c>
      <c r="T111" s="20">
        <f t="shared" si="24"/>
        <v>2042</v>
      </c>
      <c r="U111" s="112">
        <f t="shared" si="25"/>
        <v>38.909723105527839</v>
      </c>
      <c r="V111" s="21">
        <f t="shared" si="26"/>
        <v>0.57192978043494713</v>
      </c>
      <c r="W111" s="113">
        <f t="shared" si="27"/>
        <v>0.51865541682938898</v>
      </c>
      <c r="X111" s="22">
        <f t="shared" si="28"/>
        <v>0.52362508904387206</v>
      </c>
      <c r="Y111" s="46">
        <v>107</v>
      </c>
      <c r="Z111" s="114">
        <f t="shared" si="29"/>
        <v>1.6503022307677535</v>
      </c>
      <c r="AA111" s="115">
        <f t="shared" si="30"/>
        <v>1.7892977969188586</v>
      </c>
      <c r="AB111" s="116">
        <f t="shared" si="31"/>
        <v>1.7762763419573355</v>
      </c>
    </row>
    <row r="112" spans="1:28" ht="15">
      <c r="A112" s="97">
        <v>108</v>
      </c>
      <c r="B112" s="98">
        <v>0.6543293</v>
      </c>
      <c r="C112" s="98">
        <v>0.6543293</v>
      </c>
      <c r="D112" s="98">
        <v>2.09746696780101E-3</v>
      </c>
      <c r="E112" s="98">
        <v>0.63514979999999999</v>
      </c>
      <c r="F112" s="98">
        <v>0.63514979999999999</v>
      </c>
      <c r="G112" s="99">
        <v>3.6438982366493499E-3</v>
      </c>
      <c r="H112" s="97">
        <v>108</v>
      </c>
      <c r="I112" s="98">
        <v>0.6543293</v>
      </c>
      <c r="J112" s="98">
        <v>0.6543293</v>
      </c>
      <c r="K112" s="98">
        <v>0</v>
      </c>
      <c r="L112" s="98">
        <v>0.63514979999999999</v>
      </c>
      <c r="M112" s="98">
        <v>0.63514979999999999</v>
      </c>
      <c r="N112" s="99">
        <v>0</v>
      </c>
      <c r="O112" s="97">
        <v>108</v>
      </c>
      <c r="P112" s="98">
        <v>0.63558788864328397</v>
      </c>
      <c r="Q112" s="98">
        <v>0.63531306667123399</v>
      </c>
      <c r="R112" s="98">
        <v>3.4591219113575301E-3</v>
      </c>
      <c r="S112" s="20">
        <v>108</v>
      </c>
      <c r="T112" s="20">
        <f t="shared" si="24"/>
        <v>2043</v>
      </c>
      <c r="U112" s="112">
        <f t="shared" si="25"/>
        <v>39.762799152212928</v>
      </c>
      <c r="V112" s="21">
        <f t="shared" si="26"/>
        <v>0.60197118805254246</v>
      </c>
      <c r="W112" s="113">
        <f t="shared" si="27"/>
        <v>0.54947830013744314</v>
      </c>
      <c r="X112" s="22">
        <f t="shared" si="28"/>
        <v>0.55391209987805801</v>
      </c>
      <c r="Y112" s="46">
        <v>108</v>
      </c>
      <c r="Z112" s="114">
        <f t="shared" si="29"/>
        <v>1.5799144371352041</v>
      </c>
      <c r="AA112" s="115">
        <f t="shared" si="30"/>
        <v>1.7053681239924923</v>
      </c>
      <c r="AB112" s="116">
        <f t="shared" si="31"/>
        <v>1.6947311394196838</v>
      </c>
    </row>
    <row r="113" spans="1:28" ht="15">
      <c r="A113" s="97">
        <v>109</v>
      </c>
      <c r="B113" s="98">
        <v>0.68051269999999997</v>
      </c>
      <c r="C113" s="98">
        <v>0.68051269999999997</v>
      </c>
      <c r="D113" s="98">
        <v>1.8257139051754601E-3</v>
      </c>
      <c r="E113" s="98">
        <v>0.66247999999999996</v>
      </c>
      <c r="F113" s="98">
        <v>0.66247999999999996</v>
      </c>
      <c r="G113" s="99">
        <v>3.25674080583636E-3</v>
      </c>
      <c r="H113" s="97">
        <v>109</v>
      </c>
      <c r="I113" s="98">
        <v>0.68051269999999997</v>
      </c>
      <c r="J113" s="98">
        <v>0.68051269999999997</v>
      </c>
      <c r="K113" s="98">
        <v>0</v>
      </c>
      <c r="L113" s="98">
        <v>0.66247999999999996</v>
      </c>
      <c r="M113" s="98">
        <v>0.66247999999999996</v>
      </c>
      <c r="N113" s="99">
        <v>0</v>
      </c>
      <c r="O113" s="97">
        <v>109</v>
      </c>
      <c r="P113" s="98">
        <v>0.66315427442184505</v>
      </c>
      <c r="Q113" s="98">
        <v>0.662920962959203</v>
      </c>
      <c r="R113" s="98">
        <v>3.11648050830728E-3</v>
      </c>
      <c r="S113" s="20">
        <v>109</v>
      </c>
      <c r="T113" s="20">
        <f t="shared" si="24"/>
        <v>2044</v>
      </c>
      <c r="U113" s="112">
        <f t="shared" si="25"/>
        <v>40.609805831761562</v>
      </c>
      <c r="V113" s="21">
        <f t="shared" si="26"/>
        <v>0.63188321929205871</v>
      </c>
      <c r="W113" s="113">
        <f t="shared" si="27"/>
        <v>0.58041000382928398</v>
      </c>
      <c r="X113" s="22">
        <f t="shared" si="28"/>
        <v>0.58431953737399456</v>
      </c>
      <c r="Y113" s="46">
        <v>109</v>
      </c>
      <c r="Z113" s="114">
        <f t="shared" si="29"/>
        <v>1.5152446167646454</v>
      </c>
      <c r="AA113" s="115">
        <f t="shared" si="30"/>
        <v>1.6282963710205085</v>
      </c>
      <c r="AB113" s="116">
        <f t="shared" si="31"/>
        <v>1.619681647493608</v>
      </c>
    </row>
    <row r="114" spans="1:28" ht="15">
      <c r="A114" s="97">
        <v>110</v>
      </c>
      <c r="B114" s="98">
        <v>0.70669899999999997</v>
      </c>
      <c r="C114" s="98">
        <v>0.70669899999999997</v>
      </c>
      <c r="D114" s="98">
        <v>1.5891698485462199E-3</v>
      </c>
      <c r="E114" s="98">
        <v>0.68980989999999998</v>
      </c>
      <c r="F114" s="98">
        <v>0.68980989999999998</v>
      </c>
      <c r="G114" s="99">
        <v>2.91071813414649E-3</v>
      </c>
      <c r="H114" s="97">
        <v>110</v>
      </c>
      <c r="I114" s="98">
        <v>0.70669899999999997</v>
      </c>
      <c r="J114" s="98">
        <v>0.70669899999999997</v>
      </c>
      <c r="K114" s="98">
        <v>0</v>
      </c>
      <c r="L114" s="98">
        <v>0.68980989999999998</v>
      </c>
      <c r="M114" s="98">
        <v>0.68980989999999998</v>
      </c>
      <c r="N114" s="99">
        <v>0</v>
      </c>
      <c r="O114" s="97">
        <v>110</v>
      </c>
      <c r="P114" s="98">
        <v>0.69067271341842396</v>
      </c>
      <c r="Q114" s="98">
        <v>0.69047771687135295</v>
      </c>
      <c r="R114" s="98">
        <v>2.8068975473848402E-3</v>
      </c>
      <c r="S114" s="20">
        <v>110</v>
      </c>
      <c r="T114" s="20">
        <f t="shared" si="24"/>
        <v>2045</v>
      </c>
      <c r="U114" s="112">
        <f t="shared" si="25"/>
        <v>41.450687458478598</v>
      </c>
      <c r="V114" s="21">
        <f t="shared" si="26"/>
        <v>0.66164731022528112</v>
      </c>
      <c r="W114" s="113">
        <f t="shared" si="27"/>
        <v>0.61140817769529832</v>
      </c>
      <c r="X114" s="22">
        <f t="shared" si="28"/>
        <v>0.61481304926438729</v>
      </c>
      <c r="Y114" s="46">
        <v>110</v>
      </c>
      <c r="Z114" s="114">
        <f t="shared" si="29"/>
        <v>1.4556641520245464</v>
      </c>
      <c r="AA114" s="115">
        <f t="shared" si="30"/>
        <v>1.5573017274593757</v>
      </c>
      <c r="AB114" s="116">
        <f t="shared" si="31"/>
        <v>1.5503950061112004</v>
      </c>
    </row>
    <row r="115" spans="1:28" ht="15">
      <c r="A115" s="97">
        <v>111</v>
      </c>
      <c r="B115" s="98">
        <v>0.7328886</v>
      </c>
      <c r="C115" s="98">
        <v>0.7328886</v>
      </c>
      <c r="D115" s="98">
        <v>1.38327303109722E-3</v>
      </c>
      <c r="E115" s="98">
        <v>0.71713930000000004</v>
      </c>
      <c r="F115" s="98">
        <v>0.71713930000000004</v>
      </c>
      <c r="G115" s="99">
        <v>2.6014597296985199E-3</v>
      </c>
      <c r="H115" s="97">
        <v>111</v>
      </c>
      <c r="I115" s="98">
        <v>0.7328886</v>
      </c>
      <c r="J115" s="98">
        <v>0.7328886</v>
      </c>
      <c r="K115" s="98">
        <v>0</v>
      </c>
      <c r="L115" s="98">
        <v>0.71713930000000004</v>
      </c>
      <c r="M115" s="98">
        <v>0.71713930000000004</v>
      </c>
      <c r="N115" s="99">
        <v>0</v>
      </c>
      <c r="O115" s="97">
        <v>111</v>
      </c>
      <c r="P115" s="98">
        <v>0.71813445496016703</v>
      </c>
      <c r="Q115" s="98">
        <v>0.71797407925929402</v>
      </c>
      <c r="R115" s="98">
        <v>2.5267684267573499E-3</v>
      </c>
      <c r="S115" s="20">
        <v>111</v>
      </c>
      <c r="T115" s="20">
        <f t="shared" si="24"/>
        <v>2046</v>
      </c>
      <c r="U115" s="112">
        <f t="shared" si="25"/>
        <v>42.285392613294071</v>
      </c>
      <c r="V115" s="21">
        <f t="shared" si="26"/>
        <v>0.69124994201589984</v>
      </c>
      <c r="W115" s="113">
        <f t="shared" si="27"/>
        <v>0.64243545811052694</v>
      </c>
      <c r="X115" s="22">
        <f t="shared" si="28"/>
        <v>0.64536201294251794</v>
      </c>
      <c r="Y115" s="46">
        <v>111</v>
      </c>
      <c r="Z115" s="114">
        <f t="shared" si="29"/>
        <v>1.4005820920798735</v>
      </c>
      <c r="AA115" s="115">
        <f t="shared" si="30"/>
        <v>1.4915234013938696</v>
      </c>
      <c r="AB115" s="116">
        <f t="shared" si="31"/>
        <v>1.4860597049367428</v>
      </c>
    </row>
    <row r="116" spans="1:28" ht="15">
      <c r="A116" s="97">
        <v>112</v>
      </c>
      <c r="B116" s="98">
        <v>0.75908209999999998</v>
      </c>
      <c r="C116" s="98">
        <v>0.75908209999999998</v>
      </c>
      <c r="D116" s="98">
        <v>1.2040527199225E-3</v>
      </c>
      <c r="E116" s="98">
        <v>0.74446800000000002</v>
      </c>
      <c r="F116" s="98">
        <v>0.74446800000000002</v>
      </c>
      <c r="G116" s="99">
        <v>2.32505945726949E-3</v>
      </c>
      <c r="H116" s="97">
        <v>112</v>
      </c>
      <c r="I116" s="98">
        <v>0.75908209999999998</v>
      </c>
      <c r="J116" s="98">
        <v>0.75908209999999998</v>
      </c>
      <c r="K116" s="98">
        <v>0</v>
      </c>
      <c r="L116" s="98">
        <v>0.74446800000000002</v>
      </c>
      <c r="M116" s="98">
        <v>0.74446800000000002</v>
      </c>
      <c r="N116" s="99">
        <v>0</v>
      </c>
      <c r="O116" s="97">
        <v>112</v>
      </c>
      <c r="P116" s="98">
        <v>0.74553695040618095</v>
      </c>
      <c r="Q116" s="98">
        <v>0.74540723428080302</v>
      </c>
      <c r="R116" s="98">
        <v>2.2730826417302801E-3</v>
      </c>
      <c r="S116" s="20">
        <v>112</v>
      </c>
      <c r="T116" s="20">
        <f t="shared" si="24"/>
        <v>2047</v>
      </c>
      <c r="U116" s="112">
        <f t="shared" si="25"/>
        <v>43.113874071878222</v>
      </c>
      <c r="V116" s="21">
        <f t="shared" si="26"/>
        <v>0.7206824157944931</v>
      </c>
      <c r="W116" s="113">
        <f t="shared" si="27"/>
        <v>0.67345929006311955</v>
      </c>
      <c r="X116" s="22">
        <f t="shared" si="28"/>
        <v>0.67593931330915136</v>
      </c>
      <c r="Y116" s="46">
        <v>112</v>
      </c>
      <c r="Z116" s="114">
        <f t="shared" si="29"/>
        <v>1.3493288988613652</v>
      </c>
      <c r="AA116" s="115">
        <f t="shared" si="30"/>
        <v>1.4296281581735724</v>
      </c>
      <c r="AB116" s="116">
        <f t="shared" si="31"/>
        <v>1.4254031197517412</v>
      </c>
    </row>
    <row r="117" spans="1:28" ht="15">
      <c r="A117" s="97">
        <v>113</v>
      </c>
      <c r="B117" s="98">
        <v>0.78755935230122998</v>
      </c>
      <c r="C117" s="98">
        <v>0.78755935230122998</v>
      </c>
      <c r="D117" s="98">
        <v>1.04805264019557E-3</v>
      </c>
      <c r="E117" s="98">
        <v>0.77784456958366899</v>
      </c>
      <c r="F117" s="98">
        <v>0.77784456958366899</v>
      </c>
      <c r="G117" s="99">
        <v>2.0780262012607799E-3</v>
      </c>
      <c r="H117" s="97">
        <v>113</v>
      </c>
      <c r="I117" s="98">
        <v>0.78755935230122998</v>
      </c>
      <c r="J117" s="98">
        <v>0.78755935230122998</v>
      </c>
      <c r="K117" s="98">
        <v>0</v>
      </c>
      <c r="L117" s="98">
        <v>0.77784456958366999</v>
      </c>
      <c r="M117" s="98">
        <v>0.77784456958366999</v>
      </c>
      <c r="N117" s="99">
        <v>0</v>
      </c>
      <c r="O117" s="97">
        <v>113</v>
      </c>
      <c r="P117" s="98">
        <v>0.77874448624008397</v>
      </c>
      <c r="Q117" s="98">
        <v>0.778646445308806</v>
      </c>
      <c r="R117" s="98">
        <v>2.0428433423523699E-3</v>
      </c>
      <c r="S117" s="20">
        <v>113</v>
      </c>
      <c r="T117" s="20">
        <f t="shared" si="24"/>
        <v>2048</v>
      </c>
      <c r="U117" s="112">
        <f t="shared" si="25"/>
        <v>43.936088728459147</v>
      </c>
      <c r="V117" s="21">
        <f t="shared" si="26"/>
        <v>0.75211662778903232</v>
      </c>
      <c r="W117" s="113">
        <f t="shared" si="27"/>
        <v>0.70997260063409284</v>
      </c>
      <c r="X117" s="22">
        <f t="shared" si="28"/>
        <v>0.71189358677043924</v>
      </c>
      <c r="Y117" s="46">
        <v>113</v>
      </c>
      <c r="Z117" s="114">
        <f t="shared" si="29"/>
        <v>1.3006773485070733</v>
      </c>
      <c r="AA117" s="115">
        <f t="shared" si="30"/>
        <v>1.36832336950233</v>
      </c>
      <c r="AB117" s="116">
        <f t="shared" si="31"/>
        <v>1.3652357805557429</v>
      </c>
    </row>
    <row r="118" spans="1:28" ht="15">
      <c r="A118" s="97">
        <v>114</v>
      </c>
      <c r="B118" s="98">
        <v>0.81068303601837899</v>
      </c>
      <c r="C118" s="98">
        <v>0.81068303601837899</v>
      </c>
      <c r="D118" s="98">
        <v>9.1226432069485899E-4</v>
      </c>
      <c r="E118" s="98">
        <v>0.80308111521459502</v>
      </c>
      <c r="F118" s="98">
        <v>0.80308111521459502</v>
      </c>
      <c r="G118" s="99">
        <v>1.85723977063258E-3</v>
      </c>
      <c r="H118" s="97">
        <v>114</v>
      </c>
      <c r="I118" s="98">
        <v>0.81068303601837899</v>
      </c>
      <c r="J118" s="98">
        <v>0.81068303601837899</v>
      </c>
      <c r="K118" s="98">
        <v>0</v>
      </c>
      <c r="L118" s="98">
        <v>0.80308111521459502</v>
      </c>
      <c r="M118" s="98">
        <v>0.80308111521459502</v>
      </c>
      <c r="N118" s="99">
        <v>0</v>
      </c>
      <c r="O118" s="97">
        <v>114</v>
      </c>
      <c r="P118" s="98">
        <v>0.80394197151112801</v>
      </c>
      <c r="Q118" s="98">
        <v>0.80386661810026805</v>
      </c>
      <c r="R118" s="98">
        <v>1.8344610605180399E-3</v>
      </c>
      <c r="S118" s="20">
        <v>114</v>
      </c>
      <c r="T118" s="20">
        <f t="shared" si="24"/>
        <v>2049</v>
      </c>
      <c r="U118" s="112">
        <f t="shared" si="25"/>
        <v>44.751997515716987</v>
      </c>
      <c r="V118" s="21">
        <f t="shared" si="26"/>
        <v>0.77825286920745174</v>
      </c>
      <c r="W118" s="113">
        <f t="shared" si="27"/>
        <v>0.73903149205238727</v>
      </c>
      <c r="X118" s="22">
        <f t="shared" si="28"/>
        <v>0.74057824633082892</v>
      </c>
      <c r="Y118" s="46">
        <v>114</v>
      </c>
      <c r="Z118" s="114">
        <f t="shared" si="29"/>
        <v>1.2614982588715988</v>
      </c>
      <c r="AA118" s="115">
        <f t="shared" si="30"/>
        <v>1.3207590218024476</v>
      </c>
      <c r="AB118" s="116">
        <f t="shared" si="31"/>
        <v>1.3184198418912501</v>
      </c>
    </row>
    <row r="119" spans="1:28" ht="15">
      <c r="A119" s="97">
        <v>115</v>
      </c>
      <c r="B119" s="98">
        <v>0.83254324175753203</v>
      </c>
      <c r="C119" s="98">
        <v>0.83254324175753203</v>
      </c>
      <c r="D119" s="98">
        <v>7.94069075249464E-4</v>
      </c>
      <c r="E119" s="98">
        <v>0.82692633801073701</v>
      </c>
      <c r="F119" s="98">
        <v>0.82692633801073701</v>
      </c>
      <c r="G119" s="99">
        <v>1.65991148885735E-3</v>
      </c>
      <c r="H119" s="97">
        <v>115</v>
      </c>
      <c r="I119" s="98">
        <v>0.83254324175753203</v>
      </c>
      <c r="J119" s="98">
        <v>0.83254324175753203</v>
      </c>
      <c r="K119" s="98">
        <v>0</v>
      </c>
      <c r="L119" s="98">
        <v>0.82692633801073601</v>
      </c>
      <c r="M119" s="98">
        <v>0.82692633801073601</v>
      </c>
      <c r="N119" s="99">
        <v>0</v>
      </c>
      <c r="O119" s="97">
        <v>115</v>
      </c>
      <c r="P119" s="98">
        <v>0.82772259041352003</v>
      </c>
      <c r="Q119" s="98">
        <v>0.827665624084159</v>
      </c>
      <c r="R119" s="98">
        <v>1.6459114307680301E-3</v>
      </c>
      <c r="S119" s="20">
        <v>115</v>
      </c>
      <c r="T119" s="20">
        <f t="shared" si="24"/>
        <v>2050</v>
      </c>
      <c r="U119" s="112">
        <f t="shared" si="25"/>
        <v>45.561565321122451</v>
      </c>
      <c r="V119" s="21">
        <f t="shared" si="26"/>
        <v>0.80296099005811139</v>
      </c>
      <c r="W119" s="113">
        <f t="shared" si="27"/>
        <v>0.76669376172151704</v>
      </c>
      <c r="X119" s="22">
        <f t="shared" si="28"/>
        <v>0.76792168965223007</v>
      </c>
      <c r="Y119" s="46">
        <v>115</v>
      </c>
      <c r="Z119" s="114">
        <f t="shared" si="29"/>
        <v>1.2264338584876149</v>
      </c>
      <c r="AA119" s="115">
        <f t="shared" si="30"/>
        <v>1.2782744757137938</v>
      </c>
      <c r="AB119" s="116">
        <f t="shared" si="31"/>
        <v>1.2765183755145273</v>
      </c>
    </row>
    <row r="120" spans="1:28" ht="15">
      <c r="A120" s="97">
        <v>116</v>
      </c>
      <c r="B120" s="98">
        <v>0.85304029797845005</v>
      </c>
      <c r="C120" s="98">
        <v>0.85304029797845005</v>
      </c>
      <c r="D120" s="98">
        <v>6.9118750121375096E-4</v>
      </c>
      <c r="E120" s="98">
        <v>0.84924783512357205</v>
      </c>
      <c r="F120" s="98">
        <v>0.84924783512357205</v>
      </c>
      <c r="G120" s="99">
        <v>1.4835489711175799E-3</v>
      </c>
      <c r="H120" s="97">
        <v>116</v>
      </c>
      <c r="I120" s="98">
        <v>0.85304029797845005</v>
      </c>
      <c r="J120" s="98">
        <v>0.85304029797845005</v>
      </c>
      <c r="K120" s="98">
        <v>0</v>
      </c>
      <c r="L120" s="98">
        <v>0.84924783512357205</v>
      </c>
      <c r="M120" s="98">
        <v>0.84924783512357205</v>
      </c>
      <c r="N120" s="99">
        <v>0</v>
      </c>
      <c r="O120" s="97">
        <v>116</v>
      </c>
      <c r="P120" s="98">
        <v>0.84996260071957896</v>
      </c>
      <c r="Q120" s="98">
        <v>0.84992022929371902</v>
      </c>
      <c r="R120" s="98">
        <v>1.4755604535049401E-3</v>
      </c>
      <c r="S120" s="20">
        <v>116</v>
      </c>
      <c r="T120" s="20">
        <f t="shared" si="24"/>
        <v>2051</v>
      </c>
      <c r="U120" s="112">
        <f t="shared" si="25"/>
        <v>46.364760900080611</v>
      </c>
      <c r="V120" s="21">
        <f t="shared" si="26"/>
        <v>0.82613652617799183</v>
      </c>
      <c r="W120" s="113">
        <f t="shared" si="27"/>
        <v>0.79279657632400613</v>
      </c>
      <c r="X120" s="22">
        <f t="shared" si="28"/>
        <v>0.79375777206948195</v>
      </c>
      <c r="Y120" s="46">
        <v>116</v>
      </c>
      <c r="Z120" s="114">
        <f t="shared" si="29"/>
        <v>1.195150203487986</v>
      </c>
      <c r="AA120" s="115">
        <f t="shared" si="30"/>
        <v>1.2404531352346457</v>
      </c>
      <c r="AB120" s="116">
        <f t="shared" si="31"/>
        <v>1.2391468642811581</v>
      </c>
    </row>
    <row r="121" spans="1:28" ht="15">
      <c r="A121" s="97">
        <v>117</v>
      </c>
      <c r="B121" s="98">
        <v>0.87209448203587403</v>
      </c>
      <c r="C121" s="98">
        <v>0.87209448203587403</v>
      </c>
      <c r="D121" s="98">
        <v>6.0163552104585197E-4</v>
      </c>
      <c r="E121" s="98">
        <v>0.869938324615254</v>
      </c>
      <c r="F121" s="98">
        <v>0.869938324615254</v>
      </c>
      <c r="G121" s="99">
        <v>1.32592464386105E-3</v>
      </c>
      <c r="H121" s="97">
        <v>117</v>
      </c>
      <c r="I121" s="98">
        <v>0.87209448203587403</v>
      </c>
      <c r="J121" s="98">
        <v>0.87209448203587403</v>
      </c>
      <c r="K121" s="98">
        <v>0</v>
      </c>
      <c r="L121" s="98">
        <v>0.869938324615254</v>
      </c>
      <c r="M121" s="98">
        <v>0.869938324615254</v>
      </c>
      <c r="N121" s="99">
        <v>0</v>
      </c>
      <c r="O121" s="97">
        <v>117</v>
      </c>
      <c r="P121" s="98">
        <v>0.87056280823481202</v>
      </c>
      <c r="Q121" s="98">
        <v>0.87053179446913997</v>
      </c>
      <c r="R121" s="98">
        <v>1.3218982650607101E-3</v>
      </c>
      <c r="S121" s="20">
        <v>117</v>
      </c>
      <c r="T121" s="20">
        <f t="shared" si="24"/>
        <v>2052</v>
      </c>
      <c r="U121" s="112">
        <f t="shared" si="25"/>
        <v>47.161556786232765</v>
      </c>
      <c r="V121" s="21">
        <f t="shared" si="26"/>
        <v>0.84769737348465091</v>
      </c>
      <c r="W121" s="113">
        <f t="shared" si="27"/>
        <v>0.81720472715586423</v>
      </c>
      <c r="X121" s="22">
        <f t="shared" si="28"/>
        <v>0.81794666144466344</v>
      </c>
      <c r="Y121" s="46">
        <v>117</v>
      </c>
      <c r="Z121" s="114">
        <f t="shared" si="29"/>
        <v>1.1673309359692237</v>
      </c>
      <c r="AA121" s="115">
        <f t="shared" si="30"/>
        <v>1.206887686542625</v>
      </c>
      <c r="AB121" s="116">
        <f t="shared" si="31"/>
        <v>1.2059253885494028</v>
      </c>
    </row>
    <row r="122" spans="1:28" ht="15">
      <c r="A122" s="97">
        <v>118</v>
      </c>
      <c r="B122" s="98">
        <v>0.88964799405876405</v>
      </c>
      <c r="C122" s="98">
        <v>0.88964799405876405</v>
      </c>
      <c r="D122" s="98">
        <v>5.2368611924910298E-4</v>
      </c>
      <c r="E122" s="98">
        <v>0.88891879479257296</v>
      </c>
      <c r="F122" s="98">
        <v>0.88891879479257296</v>
      </c>
      <c r="G122" s="99">
        <v>1.1850476090948701E-3</v>
      </c>
      <c r="H122" s="97">
        <v>118</v>
      </c>
      <c r="I122" s="98">
        <v>0.88964799405876405</v>
      </c>
      <c r="J122" s="98">
        <v>0.88964799405876405</v>
      </c>
      <c r="K122" s="98">
        <v>0</v>
      </c>
      <c r="L122" s="98">
        <v>0.88891879479257296</v>
      </c>
      <c r="M122" s="98">
        <v>0.88891879479257296</v>
      </c>
      <c r="N122" s="99">
        <v>0</v>
      </c>
      <c r="O122" s="97">
        <v>118</v>
      </c>
      <c r="P122" s="98">
        <v>0.88945101228805801</v>
      </c>
      <c r="Q122" s="98">
        <v>0.889428671618821</v>
      </c>
      <c r="R122" s="98">
        <v>1.1835113832223199E-3</v>
      </c>
      <c r="S122" s="20">
        <v>118</v>
      </c>
      <c r="T122" s="20">
        <f t="shared" si="24"/>
        <v>2053</v>
      </c>
      <c r="U122" s="112">
        <f t="shared" si="25"/>
        <v>47.951929199259617</v>
      </c>
      <c r="V122" s="21">
        <f t="shared" si="26"/>
        <v>0.86758554029238955</v>
      </c>
      <c r="W122" s="113">
        <f t="shared" si="27"/>
        <v>0.83981410842450632</v>
      </c>
      <c r="X122" s="22">
        <f t="shared" si="28"/>
        <v>0.84037882996087288</v>
      </c>
      <c r="Y122" s="46">
        <v>118</v>
      </c>
      <c r="Z122" s="114">
        <f t="shared" si="29"/>
        <v>1.1426209605811</v>
      </c>
      <c r="AA122" s="115">
        <f t="shared" si="30"/>
        <v>1.1770719814390034</v>
      </c>
      <c r="AB122" s="116">
        <f t="shared" si="31"/>
        <v>1.1763717479220115</v>
      </c>
    </row>
    <row r="123" spans="1:28" ht="15">
      <c r="A123" s="97">
        <v>119</v>
      </c>
      <c r="B123" s="98">
        <v>0.90566631408898601</v>
      </c>
      <c r="C123" s="98">
        <v>0.90566631408898601</v>
      </c>
      <c r="D123" s="98">
        <v>4.55836036770981E-4</v>
      </c>
      <c r="E123" s="98">
        <v>0.90614076678023703</v>
      </c>
      <c r="F123" s="98">
        <v>0.90614076678023703</v>
      </c>
      <c r="G123" s="99">
        <v>1.05913849804622E-3</v>
      </c>
      <c r="H123" s="97">
        <v>119</v>
      </c>
      <c r="I123" s="98">
        <v>0.90566631408898601</v>
      </c>
      <c r="J123" s="98">
        <v>0.90566631408898601</v>
      </c>
      <c r="K123" s="98">
        <v>0</v>
      </c>
      <c r="L123" s="98">
        <v>0.90614076678023703</v>
      </c>
      <c r="M123" s="98">
        <v>0.90614076678023703</v>
      </c>
      <c r="N123" s="99">
        <v>0</v>
      </c>
      <c r="O123" s="97">
        <v>119</v>
      </c>
      <c r="P123" s="98">
        <v>0.90658394038260104</v>
      </c>
      <c r="Q123" s="98">
        <v>0.90656810412518896</v>
      </c>
      <c r="R123" s="98">
        <v>1.05906882192727E-3</v>
      </c>
      <c r="S123" s="20">
        <v>119</v>
      </c>
      <c r="T123" s="20">
        <f t="shared" si="24"/>
        <v>2054</v>
      </c>
      <c r="U123" s="112">
        <f t="shared" si="25"/>
        <v>48.735857950519026</v>
      </c>
      <c r="V123" s="21">
        <f t="shared" si="26"/>
        <v>0.88576827088492804</v>
      </c>
      <c r="W123" s="113">
        <f t="shared" si="27"/>
        <v>0.86055423614478876</v>
      </c>
      <c r="X123" s="22">
        <f t="shared" si="28"/>
        <v>0.86097803801353312</v>
      </c>
      <c r="Y123" s="46">
        <v>119</v>
      </c>
      <c r="Z123" s="114">
        <f t="shared" si="29"/>
        <v>1.120163155382486</v>
      </c>
      <c r="AA123" s="115">
        <f t="shared" si="30"/>
        <v>1.1496322109601862</v>
      </c>
      <c r="AB123" s="116">
        <f t="shared" si="31"/>
        <v>1.1491371588989705</v>
      </c>
    </row>
    <row r="124" spans="1:28" ht="15">
      <c r="A124" s="97">
        <v>120</v>
      </c>
      <c r="B124" s="100">
        <v>0.92013885076007496</v>
      </c>
      <c r="C124" s="100">
        <v>0.92013885076007496</v>
      </c>
      <c r="D124" s="100">
        <v>3.96776780558961E-4</v>
      </c>
      <c r="E124" s="100">
        <v>0.92158750083644103</v>
      </c>
      <c r="F124" s="100">
        <v>0.92158750083644103</v>
      </c>
      <c r="G124" s="101">
        <v>9.4660699657494096E-4</v>
      </c>
      <c r="H124" s="97">
        <v>120</v>
      </c>
      <c r="I124" s="100">
        <v>0.92013885076007496</v>
      </c>
      <c r="J124" s="100">
        <v>0.92013885076007496</v>
      </c>
      <c r="K124" s="100">
        <v>0</v>
      </c>
      <c r="L124" s="100">
        <v>0.92158750083644103</v>
      </c>
      <c r="M124" s="100">
        <v>0.92158750083644103</v>
      </c>
      <c r="N124" s="101">
        <v>0</v>
      </c>
      <c r="O124" s="97">
        <v>120</v>
      </c>
      <c r="P124" s="98">
        <v>0.92194842657631204</v>
      </c>
      <c r="Q124" s="98">
        <v>0.92193738410511195</v>
      </c>
      <c r="R124" s="98">
        <v>9.4731703653932E-4</v>
      </c>
      <c r="S124" s="20">
        <v>120</v>
      </c>
      <c r="T124" s="20">
        <f t="shared" si="24"/>
        <v>2055</v>
      </c>
      <c r="U124" s="112">
        <f t="shared" si="25"/>
        <v>49.513326346840415</v>
      </c>
      <c r="V124" s="21">
        <f t="shared" si="26"/>
        <v>0.90223845276147108</v>
      </c>
      <c r="W124" s="113">
        <f t="shared" si="27"/>
        <v>0.87938963149443095</v>
      </c>
      <c r="X124" s="22">
        <f t="shared" si="28"/>
        <v>0.87970310330659118</v>
      </c>
      <c r="Y124" s="46">
        <v>120</v>
      </c>
      <c r="Z124" s="114">
        <f t="shared" si="29"/>
        <v>1.0940014877293547</v>
      </c>
      <c r="AA124" s="115">
        <f t="shared" si="30"/>
        <v>1.1159715081784318</v>
      </c>
      <c r="AB124" s="116">
        <f t="shared" si="31"/>
        <v>1.1156700929744314</v>
      </c>
    </row>
    <row r="125" spans="1:28" ht="15">
      <c r="A125" s="97">
        <v>121</v>
      </c>
      <c r="B125" s="100">
        <v>1</v>
      </c>
      <c r="C125" s="100">
        <v>1</v>
      </c>
      <c r="D125" s="100">
        <v>0</v>
      </c>
      <c r="E125" s="100">
        <v>1</v>
      </c>
      <c r="F125" s="100">
        <v>1</v>
      </c>
      <c r="G125" s="101">
        <v>0</v>
      </c>
      <c r="H125" s="97">
        <v>121</v>
      </c>
      <c r="I125" s="100">
        <v>1</v>
      </c>
      <c r="J125" s="100">
        <v>1</v>
      </c>
      <c r="K125" s="100">
        <v>0</v>
      </c>
      <c r="L125" s="100">
        <v>1</v>
      </c>
      <c r="M125" s="100">
        <v>1</v>
      </c>
      <c r="N125" s="101">
        <v>0</v>
      </c>
      <c r="O125" s="97">
        <v>121</v>
      </c>
      <c r="P125" s="98">
        <v>1</v>
      </c>
      <c r="Q125" s="98">
        <v>1</v>
      </c>
      <c r="R125" s="98">
        <v>0</v>
      </c>
      <c r="S125" s="23">
        <v>121</v>
      </c>
      <c r="T125" s="23">
        <f t="shared" si="24"/>
        <v>2056</v>
      </c>
      <c r="U125" s="117">
        <f t="shared" si="25"/>
        <v>50.284321092786087</v>
      </c>
      <c r="V125" s="24">
        <f t="shared" si="26"/>
        <v>1</v>
      </c>
      <c r="W125" s="118">
        <f t="shared" si="27"/>
        <v>1</v>
      </c>
      <c r="X125" s="25">
        <f t="shared" si="28"/>
        <v>1</v>
      </c>
      <c r="Y125" s="51">
        <v>121</v>
      </c>
      <c r="Z125" s="119">
        <f t="shared" si="29"/>
        <v>1</v>
      </c>
      <c r="AA125" s="120">
        <f t="shared" si="30"/>
        <v>1</v>
      </c>
      <c r="AB125" s="121">
        <f t="shared" si="31"/>
        <v>1</v>
      </c>
    </row>
  </sheetData>
  <mergeCells count="6">
    <mergeCell ref="Z2:AB2"/>
    <mergeCell ref="A1:G1"/>
    <mergeCell ref="H1:N1"/>
    <mergeCell ref="O1:R1"/>
    <mergeCell ref="X1:Y1"/>
    <mergeCell ref="V2:X2"/>
  </mergeCells>
  <printOptions horizontalCentered="1"/>
  <pageMargins left="0.78749999999999998" right="0.78749999999999998" top="0.78749999999999998" bottom="0.78749999999999998" header="0.51180555555555496" footer="0.51180555555555496"/>
  <colBreaks count="2" manualBreakCount="2">
    <brk id="7" max="1048575" man="1"/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25"/>
  <sheetViews>
    <sheetView topLeftCell="A3" zoomScaleNormal="100" workbookViewId="0">
      <selection activeCell="C46" sqref="C46"/>
    </sheetView>
  </sheetViews>
  <sheetFormatPr baseColWidth="10" defaultColWidth="9.140625" defaultRowHeight="12.75"/>
  <cols>
    <col min="1" max="1" width="8.5703125"/>
    <col min="2" max="5" width="10.28515625"/>
    <col min="6" max="6" width="9.85546875"/>
    <col min="7" max="247" width="11.42578125"/>
  </cols>
  <sheetData>
    <row r="1" spans="1:7" ht="45.95" customHeight="1">
      <c r="A1" s="2" t="s">
        <v>72</v>
      </c>
      <c r="B1" s="2"/>
      <c r="C1" s="2"/>
      <c r="D1" s="2"/>
      <c r="E1" s="2"/>
      <c r="F1" s="2"/>
      <c r="G1" s="2"/>
    </row>
    <row r="2" spans="1:7" ht="18">
      <c r="A2" s="122"/>
      <c r="B2" s="33"/>
      <c r="C2" s="33"/>
      <c r="D2" s="33"/>
      <c r="E2" s="33"/>
      <c r="F2" s="33"/>
    </row>
    <row r="3" spans="1:7">
      <c r="A3" s="16" t="s">
        <v>1</v>
      </c>
      <c r="B3" s="16" t="s">
        <v>73</v>
      </c>
      <c r="C3" s="16" t="s">
        <v>74</v>
      </c>
      <c r="D3" s="16" t="s">
        <v>75</v>
      </c>
      <c r="E3" s="16" t="s">
        <v>76</v>
      </c>
      <c r="F3" s="123" t="s">
        <v>77</v>
      </c>
      <c r="G3" s="123" t="s">
        <v>78</v>
      </c>
    </row>
    <row r="4" spans="1:7">
      <c r="A4" s="124">
        <v>0</v>
      </c>
      <c r="B4" s="125">
        <v>2.296E-4</v>
      </c>
      <c r="C4" s="126">
        <v>2.296E-4</v>
      </c>
      <c r="D4" s="125">
        <v>1.496E-4</v>
      </c>
      <c r="E4" s="126">
        <v>1.496E-4</v>
      </c>
      <c r="F4" s="127">
        <v>1.38962493415961E-2</v>
      </c>
      <c r="G4" s="128">
        <v>1.38962493415961E-2</v>
      </c>
    </row>
    <row r="5" spans="1:7">
      <c r="A5" s="124">
        <v>1</v>
      </c>
      <c r="B5" s="129">
        <v>2.296E-4</v>
      </c>
      <c r="C5" s="130">
        <v>2.296E-4</v>
      </c>
      <c r="D5" s="129">
        <v>1.496E-4</v>
      </c>
      <c r="E5" s="130">
        <v>1.496E-4</v>
      </c>
      <c r="F5" s="131">
        <v>1.0406251889997699E-3</v>
      </c>
      <c r="G5" s="132">
        <v>1.0406251889997699E-3</v>
      </c>
    </row>
    <row r="6" spans="1:7">
      <c r="A6" s="124">
        <v>2</v>
      </c>
      <c r="B6" s="129">
        <v>2.296E-4</v>
      </c>
      <c r="C6" s="130">
        <v>2.296E-4</v>
      </c>
      <c r="D6" s="129">
        <v>1.496E-4</v>
      </c>
      <c r="E6" s="130">
        <v>1.496E-4</v>
      </c>
      <c r="F6" s="131">
        <v>6.78019130240079E-4</v>
      </c>
      <c r="G6" s="132">
        <v>6.78019130240079E-4</v>
      </c>
    </row>
    <row r="7" spans="1:7">
      <c r="A7" s="124">
        <v>3</v>
      </c>
      <c r="B7" s="129">
        <v>2.296E-4</v>
      </c>
      <c r="C7" s="130">
        <v>2.296E-4</v>
      </c>
      <c r="D7" s="129">
        <v>1.496E-4</v>
      </c>
      <c r="E7" s="130">
        <v>1.496E-4</v>
      </c>
      <c r="F7" s="131">
        <v>4.3316938696813501E-4</v>
      </c>
      <c r="G7" s="132">
        <v>4.3316938696813501E-4</v>
      </c>
    </row>
    <row r="8" spans="1:7">
      <c r="A8" s="124">
        <v>4</v>
      </c>
      <c r="B8" s="129">
        <v>2.296E-4</v>
      </c>
      <c r="C8" s="130">
        <v>2.296E-4</v>
      </c>
      <c r="D8" s="129">
        <v>1.496E-4</v>
      </c>
      <c r="E8" s="130">
        <v>1.496E-4</v>
      </c>
      <c r="F8" s="131">
        <v>3.1355832599112501E-4</v>
      </c>
      <c r="G8" s="132">
        <v>3.1355832599112501E-4</v>
      </c>
    </row>
    <row r="9" spans="1:7">
      <c r="A9" s="124">
        <v>5</v>
      </c>
      <c r="B9" s="129">
        <v>2.296E-4</v>
      </c>
      <c r="C9" s="130">
        <v>2.296E-4</v>
      </c>
      <c r="D9" s="129">
        <v>1.496E-4</v>
      </c>
      <c r="E9" s="130">
        <v>1.496E-4</v>
      </c>
      <c r="F9" s="131">
        <v>2.5692692297025099E-4</v>
      </c>
      <c r="G9" s="132">
        <v>2.5692692297025099E-4</v>
      </c>
    </row>
    <row r="10" spans="1:7">
      <c r="A10" s="124">
        <v>6</v>
      </c>
      <c r="B10" s="129">
        <v>2.296E-4</v>
      </c>
      <c r="C10" s="130">
        <v>2.296E-4</v>
      </c>
      <c r="D10" s="129">
        <v>1.496E-4</v>
      </c>
      <c r="E10" s="130">
        <v>1.496E-4</v>
      </c>
      <c r="F10" s="131">
        <v>2.3869480837222901E-4</v>
      </c>
      <c r="G10" s="132">
        <v>2.3869480837222901E-4</v>
      </c>
    </row>
    <row r="11" spans="1:7">
      <c r="A11" s="124">
        <v>7</v>
      </c>
      <c r="B11" s="129">
        <v>2.296E-4</v>
      </c>
      <c r="C11" s="130">
        <v>2.296E-4</v>
      </c>
      <c r="D11" s="129">
        <v>1.496E-4</v>
      </c>
      <c r="E11" s="130">
        <v>1.496E-4</v>
      </c>
      <c r="F11" s="131">
        <v>2.2817496071484401E-4</v>
      </c>
      <c r="G11" s="132">
        <v>2.2817496071484401E-4</v>
      </c>
    </row>
    <row r="12" spans="1:7">
      <c r="A12" s="124">
        <v>8</v>
      </c>
      <c r="B12" s="129">
        <v>2.296E-4</v>
      </c>
      <c r="C12" s="130">
        <v>2.296E-4</v>
      </c>
      <c r="D12" s="129">
        <v>1.496E-4</v>
      </c>
      <c r="E12" s="130">
        <v>1.496E-4</v>
      </c>
      <c r="F12" s="131">
        <v>2.0499467055215E-4</v>
      </c>
      <c r="G12" s="132">
        <v>2.0499467055215E-4</v>
      </c>
    </row>
    <row r="13" spans="1:7">
      <c r="A13" s="124">
        <v>9</v>
      </c>
      <c r="B13" s="129">
        <v>2.296E-4</v>
      </c>
      <c r="C13" s="130">
        <v>2.296E-4</v>
      </c>
      <c r="D13" s="129">
        <v>1.496E-4</v>
      </c>
      <c r="E13" s="130">
        <v>1.496E-4</v>
      </c>
      <c r="F13" s="131">
        <v>1.8993394129366699E-4</v>
      </c>
      <c r="G13" s="132">
        <v>1.8993394129366699E-4</v>
      </c>
    </row>
    <row r="14" spans="1:7">
      <c r="A14" s="124">
        <v>10</v>
      </c>
      <c r="B14" s="129">
        <v>2.296E-4</v>
      </c>
      <c r="C14" s="130">
        <v>2.296E-4</v>
      </c>
      <c r="D14" s="129">
        <v>1.496E-4</v>
      </c>
      <c r="E14" s="130">
        <v>1.496E-4</v>
      </c>
      <c r="F14" s="131">
        <v>1.82530366847689E-4</v>
      </c>
      <c r="G14" s="132">
        <v>1.82530366847689E-4</v>
      </c>
    </row>
    <row r="15" spans="1:7">
      <c r="A15" s="124">
        <v>11</v>
      </c>
      <c r="B15" s="129">
        <v>2.296E-4</v>
      </c>
      <c r="C15" s="130">
        <v>2.296E-4</v>
      </c>
      <c r="D15" s="129">
        <v>1.496E-4</v>
      </c>
      <c r="E15" s="130">
        <v>1.496E-4</v>
      </c>
      <c r="F15" s="131">
        <v>1.767028393314E-4</v>
      </c>
      <c r="G15" s="132">
        <v>1.767028393314E-4</v>
      </c>
    </row>
    <row r="16" spans="1:7">
      <c r="A16" s="124">
        <v>12</v>
      </c>
      <c r="B16" s="129">
        <v>2.296E-4</v>
      </c>
      <c r="C16" s="130">
        <v>2.296E-4</v>
      </c>
      <c r="D16" s="129">
        <v>1.496E-4</v>
      </c>
      <c r="E16" s="130">
        <v>1.496E-4</v>
      </c>
      <c r="F16" s="131">
        <v>1.7447449426948901E-4</v>
      </c>
      <c r="G16" s="132">
        <v>1.7447449426948901E-4</v>
      </c>
    </row>
    <row r="17" spans="1:7">
      <c r="A17" s="124">
        <v>13</v>
      </c>
      <c r="B17" s="129">
        <v>2.8959999999999999E-4</v>
      </c>
      <c r="C17" s="130">
        <v>2.8959999999999999E-4</v>
      </c>
      <c r="D17" s="129">
        <v>1.496E-4</v>
      </c>
      <c r="E17" s="130">
        <v>1.496E-4</v>
      </c>
      <c r="F17" s="131">
        <v>1.97531454865601E-4</v>
      </c>
      <c r="G17" s="132">
        <v>1.97531454865601E-4</v>
      </c>
    </row>
    <row r="18" spans="1:7">
      <c r="A18" s="124">
        <v>14</v>
      </c>
      <c r="B18" s="129">
        <v>2.8959999999999999E-4</v>
      </c>
      <c r="C18" s="130">
        <v>2.8959999999999999E-4</v>
      </c>
      <c r="D18" s="129">
        <v>1.496E-4</v>
      </c>
      <c r="E18" s="130">
        <v>1.496E-4</v>
      </c>
      <c r="F18" s="131">
        <v>2.5933147288064199E-4</v>
      </c>
      <c r="G18" s="132">
        <v>2.5933147288064199E-4</v>
      </c>
    </row>
    <row r="19" spans="1:7">
      <c r="A19" s="124">
        <v>15</v>
      </c>
      <c r="B19" s="129">
        <v>5.2879999999999995E-4</v>
      </c>
      <c r="C19" s="130">
        <v>5.2879999999999995E-4</v>
      </c>
      <c r="D19" s="129">
        <v>2.2722006711961199E-4</v>
      </c>
      <c r="E19" s="130">
        <v>2.2722006711961199E-4</v>
      </c>
      <c r="F19" s="131">
        <v>3.4622443319815498E-4</v>
      </c>
      <c r="G19" s="132">
        <v>3.4622443319815498E-4</v>
      </c>
    </row>
    <row r="20" spans="1:7">
      <c r="A20" s="124">
        <v>16</v>
      </c>
      <c r="B20" s="129">
        <v>7.26462211582119E-4</v>
      </c>
      <c r="C20" s="130">
        <v>7.26462211582119E-4</v>
      </c>
      <c r="D20" s="129">
        <v>2.2722006711961199E-4</v>
      </c>
      <c r="E20" s="130">
        <v>2.2722006711961199E-4</v>
      </c>
      <c r="F20" s="131">
        <v>4.4008067788507297E-4</v>
      </c>
      <c r="G20" s="132">
        <v>4.4008067788507297E-4</v>
      </c>
    </row>
    <row r="21" spans="1:7">
      <c r="A21" s="124">
        <v>17</v>
      </c>
      <c r="B21" s="129">
        <v>7.26462211582119E-4</v>
      </c>
      <c r="C21" s="130">
        <v>7.26462211582119E-4</v>
      </c>
      <c r="D21" s="129">
        <v>2.2722006711961199E-4</v>
      </c>
      <c r="E21" s="130">
        <v>2.2722006711961199E-4</v>
      </c>
      <c r="F21" s="131">
        <v>5.3329359417272101E-4</v>
      </c>
      <c r="G21" s="132">
        <v>5.3329359417272101E-4</v>
      </c>
    </row>
    <row r="22" spans="1:7">
      <c r="A22" s="124">
        <v>18</v>
      </c>
      <c r="B22" s="129">
        <v>7.26462211582119E-4</v>
      </c>
      <c r="C22" s="130">
        <v>7.26462211582119E-4</v>
      </c>
      <c r="D22" s="129">
        <v>2.2722006711961199E-4</v>
      </c>
      <c r="E22" s="130">
        <v>2.2722006711961199E-4</v>
      </c>
      <c r="F22" s="131">
        <v>5.9437044415806297E-4</v>
      </c>
      <c r="G22" s="132">
        <v>5.9437044415806297E-4</v>
      </c>
    </row>
    <row r="23" spans="1:7">
      <c r="A23" s="124">
        <v>19</v>
      </c>
      <c r="B23" s="129">
        <v>7.26462211582119E-4</v>
      </c>
      <c r="C23" s="130">
        <v>7.26462211582119E-4</v>
      </c>
      <c r="D23" s="129">
        <v>2.2722006711961199E-4</v>
      </c>
      <c r="E23" s="130">
        <v>2.2722006711961199E-4</v>
      </c>
      <c r="F23" s="131">
        <v>5.9447303645632102E-4</v>
      </c>
      <c r="G23" s="132">
        <v>5.9447303645632102E-4</v>
      </c>
    </row>
    <row r="24" spans="1:7">
      <c r="A24" s="124">
        <v>20</v>
      </c>
      <c r="B24" s="129">
        <v>7.26462211582119E-4</v>
      </c>
      <c r="C24" s="130">
        <v>7.26462211582119E-4</v>
      </c>
      <c r="D24" s="129">
        <v>2.2722006711961199E-4</v>
      </c>
      <c r="E24" s="130">
        <v>2.2722006711961199E-4</v>
      </c>
      <c r="F24" s="131">
        <v>5.6249904110062599E-4</v>
      </c>
      <c r="G24" s="132">
        <v>5.6249904110062599E-4</v>
      </c>
    </row>
    <row r="25" spans="1:7">
      <c r="A25" s="124">
        <v>21</v>
      </c>
      <c r="B25" s="129">
        <v>7.26462211582119E-4</v>
      </c>
      <c r="C25" s="130">
        <v>7.26462211582119E-4</v>
      </c>
      <c r="D25" s="129">
        <v>2.2722006711961199E-4</v>
      </c>
      <c r="E25" s="130">
        <v>2.2722006711961199E-4</v>
      </c>
      <c r="F25" s="131">
        <v>5.3365754019134401E-4</v>
      </c>
      <c r="G25" s="132">
        <v>5.3365754019134401E-4</v>
      </c>
    </row>
    <row r="26" spans="1:7">
      <c r="A26" s="124">
        <v>22</v>
      </c>
      <c r="B26" s="129">
        <v>7.26462211582119E-4</v>
      </c>
      <c r="C26" s="130">
        <v>7.26462211582119E-4</v>
      </c>
      <c r="D26" s="129">
        <v>2.2722006711961199E-4</v>
      </c>
      <c r="E26" s="130">
        <v>2.2722006711961199E-4</v>
      </c>
      <c r="F26" s="131">
        <v>5.0777554197703402E-4</v>
      </c>
      <c r="G26" s="132">
        <v>5.0777554197703402E-4</v>
      </c>
    </row>
    <row r="27" spans="1:7">
      <c r="A27" s="124">
        <v>23</v>
      </c>
      <c r="B27" s="129">
        <v>7.26462211582119E-4</v>
      </c>
      <c r="C27" s="130">
        <v>7.26462211582119E-4</v>
      </c>
      <c r="D27" s="129">
        <v>2.2722006711961199E-4</v>
      </c>
      <c r="E27" s="130">
        <v>2.2722006711961199E-4</v>
      </c>
      <c r="F27" s="131">
        <v>4.7986706537820798E-4</v>
      </c>
      <c r="G27" s="132">
        <v>4.7986706537820798E-4</v>
      </c>
    </row>
    <row r="28" spans="1:7">
      <c r="A28" s="124">
        <v>24</v>
      </c>
      <c r="B28" s="129">
        <v>7.26462211582119E-4</v>
      </c>
      <c r="C28" s="130">
        <v>7.26462211582119E-4</v>
      </c>
      <c r="D28" s="129">
        <v>2.2722006711961199E-4</v>
      </c>
      <c r="E28" s="130">
        <v>2.2722006711961199E-4</v>
      </c>
      <c r="F28" s="131">
        <v>4.5495260252476099E-4</v>
      </c>
      <c r="G28" s="132">
        <v>4.5495260252476099E-4</v>
      </c>
    </row>
    <row r="29" spans="1:7">
      <c r="A29" s="124">
        <v>25</v>
      </c>
      <c r="B29" s="129">
        <v>7.26462211582119E-4</v>
      </c>
      <c r="C29" s="130">
        <v>7.26462211582119E-4</v>
      </c>
      <c r="D29" s="129">
        <v>2.2722006711961199E-4</v>
      </c>
      <c r="E29" s="130">
        <v>2.2722006711961199E-4</v>
      </c>
      <c r="F29" s="131">
        <v>4.4045900498205901E-4</v>
      </c>
      <c r="G29" s="132">
        <v>4.4045900498205901E-4</v>
      </c>
    </row>
    <row r="30" spans="1:7">
      <c r="A30" s="124">
        <v>26</v>
      </c>
      <c r="B30" s="129">
        <v>7.26462211582119E-4</v>
      </c>
      <c r="C30" s="130">
        <v>7.26462211582119E-4</v>
      </c>
      <c r="D30" s="129">
        <v>2.78059377262853E-4</v>
      </c>
      <c r="E30" s="130">
        <v>2.78059377262853E-4</v>
      </c>
      <c r="F30" s="131">
        <v>4.3058981164076501E-4</v>
      </c>
      <c r="G30" s="132">
        <v>4.3058981164076501E-4</v>
      </c>
    </row>
    <row r="31" spans="1:7">
      <c r="A31" s="124">
        <v>27</v>
      </c>
      <c r="B31" s="129">
        <v>7.26462211582119E-4</v>
      </c>
      <c r="C31" s="130">
        <v>7.26462211582119E-4</v>
      </c>
      <c r="D31" s="129">
        <v>2.78059377262853E-4</v>
      </c>
      <c r="E31" s="130">
        <v>2.78059377262853E-4</v>
      </c>
      <c r="F31" s="131">
        <v>4.1827286019576501E-4</v>
      </c>
      <c r="G31" s="132">
        <v>4.1827286019576501E-4</v>
      </c>
    </row>
    <row r="32" spans="1:7">
      <c r="A32" s="124">
        <v>28</v>
      </c>
      <c r="B32" s="129">
        <v>7.26462211582119E-4</v>
      </c>
      <c r="C32" s="130">
        <v>7.26462211582119E-4</v>
      </c>
      <c r="D32" s="129">
        <v>2.9795158286778401E-4</v>
      </c>
      <c r="E32" s="130">
        <v>2.9795158286778401E-4</v>
      </c>
      <c r="F32" s="131">
        <v>4.03049386266028E-4</v>
      </c>
      <c r="G32" s="132">
        <v>4.03049386266028E-4</v>
      </c>
    </row>
    <row r="33" spans="1:7">
      <c r="A33" s="124">
        <v>29</v>
      </c>
      <c r="B33" s="129">
        <v>7.26462211582119E-4</v>
      </c>
      <c r="C33" s="130">
        <v>7.26462211582119E-4</v>
      </c>
      <c r="D33" s="129">
        <v>2.9795158286778401E-4</v>
      </c>
      <c r="E33" s="130">
        <v>2.9795158286778401E-4</v>
      </c>
      <c r="F33" s="131">
        <v>3.8821652460746601E-4</v>
      </c>
      <c r="G33" s="132">
        <v>3.8821652460746601E-4</v>
      </c>
    </row>
    <row r="34" spans="1:7">
      <c r="A34" s="124">
        <v>30</v>
      </c>
      <c r="B34" s="129">
        <v>7.26462211582119E-4</v>
      </c>
      <c r="C34" s="130">
        <v>7.26462211582119E-4</v>
      </c>
      <c r="D34" s="129">
        <v>2.9795158286778401E-4</v>
      </c>
      <c r="E34" s="130">
        <v>2.9795158286778401E-4</v>
      </c>
      <c r="F34" s="131">
        <v>3.8004436241645E-4</v>
      </c>
      <c r="G34" s="132">
        <v>3.8004436241645E-4</v>
      </c>
    </row>
    <row r="35" spans="1:7">
      <c r="A35" s="124">
        <v>31</v>
      </c>
      <c r="B35" s="129">
        <v>7.26462211582119E-4</v>
      </c>
      <c r="C35" s="130">
        <v>7.26462211582119E-4</v>
      </c>
      <c r="D35" s="129">
        <v>2.9795158286778401E-4</v>
      </c>
      <c r="E35" s="130">
        <v>2.9795158286778401E-4</v>
      </c>
      <c r="F35" s="131">
        <v>3.8750255026052401E-4</v>
      </c>
      <c r="G35" s="132">
        <v>3.8750255026052401E-4</v>
      </c>
    </row>
    <row r="36" spans="1:7">
      <c r="A36" s="124">
        <v>32</v>
      </c>
      <c r="B36" s="129">
        <v>7.26462211582119E-4</v>
      </c>
      <c r="C36" s="130">
        <v>7.26462211582119E-4</v>
      </c>
      <c r="D36" s="129">
        <v>2.9795158286778401E-4</v>
      </c>
      <c r="E36" s="130">
        <v>2.9795158286778401E-4</v>
      </c>
      <c r="F36" s="131">
        <v>4.07985982573537E-4</v>
      </c>
      <c r="G36" s="132">
        <v>4.07985982573537E-4</v>
      </c>
    </row>
    <row r="37" spans="1:7">
      <c r="A37" s="124">
        <v>33</v>
      </c>
      <c r="B37" s="129">
        <v>7.4087896442813397E-4</v>
      </c>
      <c r="C37" s="130">
        <v>7.4087896442813397E-4</v>
      </c>
      <c r="D37" s="129">
        <v>2.9795158286778401E-4</v>
      </c>
      <c r="E37" s="130">
        <v>2.9795158286778401E-4</v>
      </c>
      <c r="F37" s="131">
        <v>4.3520337921979798E-4</v>
      </c>
      <c r="G37" s="132">
        <v>4.3520337921979798E-4</v>
      </c>
    </row>
    <row r="38" spans="1:7">
      <c r="A38" s="124">
        <v>34</v>
      </c>
      <c r="B38" s="129">
        <v>7.4087896442813397E-4</v>
      </c>
      <c r="C38" s="130">
        <v>7.4087896442813397E-4</v>
      </c>
      <c r="D38" s="129">
        <v>3.7744751120547302E-4</v>
      </c>
      <c r="E38" s="130">
        <v>3.7744751120547302E-4</v>
      </c>
      <c r="F38" s="131">
        <v>4.5886457150216202E-4</v>
      </c>
      <c r="G38" s="132">
        <v>4.5886457150216202E-4</v>
      </c>
    </row>
    <row r="39" spans="1:7">
      <c r="A39" s="124">
        <v>35</v>
      </c>
      <c r="B39" s="131">
        <v>8.1801851595964805E-4</v>
      </c>
      <c r="C39" s="132">
        <v>8.1801851595964805E-4</v>
      </c>
      <c r="D39" s="131">
        <v>3.7744751120547302E-4</v>
      </c>
      <c r="E39" s="132">
        <v>3.7744751120547302E-4</v>
      </c>
      <c r="F39" s="131">
        <v>4.7677510236654398E-4</v>
      </c>
      <c r="G39" s="132">
        <v>4.7677510236654398E-4</v>
      </c>
    </row>
    <row r="40" spans="1:7">
      <c r="A40" s="124">
        <v>36</v>
      </c>
      <c r="B40" s="131">
        <v>9.5783999999999995E-4</v>
      </c>
      <c r="C40" s="132">
        <v>9.5783999999999995E-4</v>
      </c>
      <c r="D40" s="131">
        <v>4.6799999999999999E-4</v>
      </c>
      <c r="E40" s="132">
        <v>4.6799999999999999E-4</v>
      </c>
      <c r="F40" s="131">
        <v>4.9952752059926405E-4</v>
      </c>
      <c r="G40" s="132">
        <v>4.9952752059926405E-4</v>
      </c>
    </row>
    <row r="41" spans="1:7">
      <c r="A41" s="124">
        <v>37</v>
      </c>
      <c r="B41" s="131">
        <v>1.0222597022376801E-3</v>
      </c>
      <c r="C41" s="132">
        <v>1.0222597022376801E-3</v>
      </c>
      <c r="D41" s="131">
        <v>5.0720636754331898E-4</v>
      </c>
      <c r="E41" s="132">
        <v>5.0720636754331898E-4</v>
      </c>
      <c r="F41" s="131">
        <v>5.3781307833762799E-4</v>
      </c>
      <c r="G41" s="132">
        <v>5.3781307833762799E-4</v>
      </c>
    </row>
    <row r="42" spans="1:7">
      <c r="A42" s="124">
        <v>38</v>
      </c>
      <c r="B42" s="131">
        <v>1.10874461992133E-3</v>
      </c>
      <c r="C42" s="132">
        <v>1.10874461992133E-3</v>
      </c>
      <c r="D42" s="131">
        <v>5.5853071743678002E-4</v>
      </c>
      <c r="E42" s="132">
        <v>5.5853071743678002E-4</v>
      </c>
      <c r="F42" s="131">
        <v>5.8844554068797404E-4</v>
      </c>
      <c r="G42" s="132">
        <v>5.8844554068797404E-4</v>
      </c>
    </row>
    <row r="43" spans="1:7">
      <c r="A43" s="124">
        <v>39</v>
      </c>
      <c r="B43" s="131">
        <v>1.20718451962765E-3</v>
      </c>
      <c r="C43" s="132">
        <v>1.20718451962765E-3</v>
      </c>
      <c r="D43" s="131">
        <v>6.1533364715300905E-4</v>
      </c>
      <c r="E43" s="132">
        <v>6.1533364715300905E-4</v>
      </c>
      <c r="F43" s="131">
        <v>6.4520462261988601E-4</v>
      </c>
      <c r="G43" s="132">
        <v>6.4520462261988601E-4</v>
      </c>
    </row>
    <row r="44" spans="1:7">
      <c r="A44" s="124">
        <v>40</v>
      </c>
      <c r="B44" s="131">
        <v>1.3097406908700901E-3</v>
      </c>
      <c r="C44" s="132">
        <v>1.3097406908700901E-3</v>
      </c>
      <c r="D44" s="131">
        <v>6.7482140635866702E-4</v>
      </c>
      <c r="E44" s="132">
        <v>6.7482140635866702E-4</v>
      </c>
      <c r="F44" s="131">
        <v>7.0459980678752804E-4</v>
      </c>
      <c r="G44" s="132">
        <v>7.0459980678752804E-4</v>
      </c>
    </row>
    <row r="45" spans="1:7">
      <c r="A45" s="124">
        <v>41</v>
      </c>
      <c r="B45" s="131">
        <v>1.3835303676753201E-3</v>
      </c>
      <c r="C45" s="132">
        <v>1.3923370536567E-3</v>
      </c>
      <c r="D45" s="131">
        <v>7.2180158255466997E-4</v>
      </c>
      <c r="E45" s="132">
        <v>7.2558244798709903E-4</v>
      </c>
      <c r="F45" s="131">
        <v>7.49936679484008E-4</v>
      </c>
      <c r="G45" s="132">
        <v>7.5424734085518098E-4</v>
      </c>
    </row>
    <row r="46" spans="1:7">
      <c r="A46" s="124">
        <v>42</v>
      </c>
      <c r="B46" s="131">
        <v>1.4491084742024401E-3</v>
      </c>
      <c r="C46" s="132">
        <v>1.4679036554502E-3</v>
      </c>
      <c r="D46" s="131">
        <v>7.6486609460561501E-4</v>
      </c>
      <c r="E46" s="132">
        <v>7.7300821754819099E-4</v>
      </c>
      <c r="F46" s="131">
        <v>7.9112494417808395E-4</v>
      </c>
      <c r="G46" s="132">
        <v>8.0037329277134401E-4</v>
      </c>
    </row>
    <row r="47" spans="1:7">
      <c r="A47" s="124">
        <v>43</v>
      </c>
      <c r="B47" s="131">
        <v>1.5116135357604501E-3</v>
      </c>
      <c r="C47" s="132">
        <v>1.5415860447312499E-3</v>
      </c>
      <c r="D47" s="131">
        <v>8.0597566467915395E-4</v>
      </c>
      <c r="E47" s="132">
        <v>8.1905625333542195E-4</v>
      </c>
      <c r="F47" s="131">
        <v>8.3053814153927501E-4</v>
      </c>
      <c r="G47" s="132">
        <v>8.4535308285011595E-4</v>
      </c>
    </row>
    <row r="48" spans="1:7">
      <c r="A48" s="124">
        <v>44</v>
      </c>
      <c r="B48" s="131">
        <v>1.57911383288481E-3</v>
      </c>
      <c r="C48" s="132">
        <v>1.6216775480569E-3</v>
      </c>
      <c r="D48" s="131">
        <v>8.4481259829665496E-4</v>
      </c>
      <c r="E48" s="132">
        <v>8.6339847545918204E-4</v>
      </c>
      <c r="F48" s="131">
        <v>8.6997529285853196E-4</v>
      </c>
      <c r="G48" s="132">
        <v>8.9103716352604005E-4</v>
      </c>
    </row>
    <row r="49" spans="1:7">
      <c r="A49" s="124">
        <v>45</v>
      </c>
      <c r="B49" s="131">
        <v>1.65495835842235E-3</v>
      </c>
      <c r="C49" s="132">
        <v>1.7118297796739801E-3</v>
      </c>
      <c r="D49" s="131">
        <v>8.85929578640313E-4</v>
      </c>
      <c r="E49" s="132">
        <v>9.1070557533110203E-4</v>
      </c>
      <c r="F49" s="131">
        <v>9.1286381907780502E-4</v>
      </c>
      <c r="G49" s="132">
        <v>9.4099709866067897E-4</v>
      </c>
    </row>
    <row r="50" spans="1:7">
      <c r="A50" s="124">
        <v>46</v>
      </c>
      <c r="B50" s="131">
        <v>1.7399750367417699E-3</v>
      </c>
      <c r="C50" s="132">
        <v>1.8131857676004701E-3</v>
      </c>
      <c r="D50" s="131">
        <v>9.3583077533154302E-4</v>
      </c>
      <c r="E50" s="132">
        <v>9.6777810179975805E-4</v>
      </c>
      <c r="F50" s="131">
        <v>9.6313977315913297E-4</v>
      </c>
      <c r="G50" s="132">
        <v>9.9941881328275491E-4</v>
      </c>
    </row>
    <row r="51" spans="1:7">
      <c r="A51" s="124">
        <v>47</v>
      </c>
      <c r="B51" s="131">
        <v>1.83103845266799E-3</v>
      </c>
      <c r="C51" s="132">
        <v>1.9227869792870101E-3</v>
      </c>
      <c r="D51" s="131">
        <v>9.9226265473848396E-4</v>
      </c>
      <c r="E51" s="132">
        <v>1.03247540443052E-3</v>
      </c>
      <c r="F51" s="131">
        <v>1.0187684325603499E-3</v>
      </c>
      <c r="G51" s="132">
        <v>1.0643770103261701E-3</v>
      </c>
    </row>
    <row r="52" spans="1:7">
      <c r="A52" s="124">
        <v>48</v>
      </c>
      <c r="B52" s="131">
        <v>1.9308943186128499E-3</v>
      </c>
      <c r="C52" s="132">
        <v>2.0438121150229598E-3</v>
      </c>
      <c r="D52" s="131">
        <v>1.0479607157725299E-3</v>
      </c>
      <c r="E52" s="132">
        <v>1.0973645780875201E-3</v>
      </c>
      <c r="F52" s="131">
        <v>1.0762832418073399E-3</v>
      </c>
      <c r="G52" s="132">
        <v>1.1324195338529199E-3</v>
      </c>
    </row>
    <row r="53" spans="1:7">
      <c r="A53" s="124">
        <v>49</v>
      </c>
      <c r="B53" s="131">
        <v>2.04127130206383E-3</v>
      </c>
      <c r="C53" s="132">
        <v>2.1784740034721502E-3</v>
      </c>
      <c r="D53" s="131">
        <v>1.10090796257434E-3</v>
      </c>
      <c r="E53" s="132">
        <v>1.16035699255336E-3</v>
      </c>
      <c r="F53" s="131">
        <v>1.13496307803639E-3</v>
      </c>
      <c r="G53" s="132">
        <v>1.2029080083783799E-3</v>
      </c>
    </row>
    <row r="54" spans="1:7">
      <c r="A54" s="124">
        <v>50</v>
      </c>
      <c r="B54" s="131">
        <v>2.1600502639086299E-3</v>
      </c>
      <c r="C54" s="132">
        <v>2.3249395970314302E-3</v>
      </c>
      <c r="D54" s="131">
        <v>1.1545130141355599E-3</v>
      </c>
      <c r="E54" s="132">
        <v>1.22506658722163E-3</v>
      </c>
      <c r="F54" s="131">
        <v>1.19624965764149E-3</v>
      </c>
      <c r="G54" s="132">
        <v>1.2774775547899199E-3</v>
      </c>
    </row>
    <row r="55" spans="1:7">
      <c r="A55" s="124">
        <v>51</v>
      </c>
      <c r="B55" s="131">
        <v>2.28049907887325E-3</v>
      </c>
      <c r="C55" s="132">
        <v>2.4763264783081202E-3</v>
      </c>
      <c r="D55" s="131">
        <v>1.2060707772386301E-3</v>
      </c>
      <c r="E55" s="132">
        <v>1.2886752474532801E-3</v>
      </c>
      <c r="F55" s="131">
        <v>1.25693641972557E-3</v>
      </c>
      <c r="G55" s="132">
        <v>1.3528251575264799E-3</v>
      </c>
    </row>
    <row r="56" spans="1:7">
      <c r="A56" s="124">
        <v>52</v>
      </c>
      <c r="B56" s="131">
        <v>2.3935415168634799E-3</v>
      </c>
      <c r="C56" s="132">
        <v>2.6229544418024699E-3</v>
      </c>
      <c r="D56" s="131">
        <v>1.2522586712646899E-3</v>
      </c>
      <c r="E56" s="132">
        <v>1.3476229854610001E-3</v>
      </c>
      <c r="F56" s="131">
        <v>1.3128676964222501E-3</v>
      </c>
      <c r="G56" s="132">
        <v>1.4245146388529399E-3</v>
      </c>
    </row>
    <row r="57" spans="1:7">
      <c r="A57" s="124">
        <v>53</v>
      </c>
      <c r="B57" s="131">
        <v>2.49359427060887E-3</v>
      </c>
      <c r="C57" s="132">
        <v>2.7586533508861802E-3</v>
      </c>
      <c r="D57" s="131">
        <v>1.29011632630454E-3</v>
      </c>
      <c r="E57" s="132">
        <v>1.39863787610545E-3</v>
      </c>
      <c r="F57" s="131">
        <v>1.3609425006515701E-3</v>
      </c>
      <c r="G57" s="132">
        <v>1.48912493191744E-3</v>
      </c>
    </row>
    <row r="58" spans="1:7">
      <c r="A58" s="124">
        <v>54</v>
      </c>
      <c r="B58" s="131">
        <v>2.5784055253264301E-3</v>
      </c>
      <c r="C58" s="132">
        <v>2.8807311313111001E-3</v>
      </c>
      <c r="D58" s="131">
        <v>1.3205480612334E-3</v>
      </c>
      <c r="E58" s="132">
        <v>1.44256670209137E-3</v>
      </c>
      <c r="F58" s="131">
        <v>1.4011001102403099E-3</v>
      </c>
      <c r="G58" s="132">
        <v>1.5464567726148899E-3</v>
      </c>
    </row>
    <row r="59" spans="1:7">
      <c r="A59" s="124">
        <v>55</v>
      </c>
      <c r="B59" s="131">
        <v>2.6487919120797899E-3</v>
      </c>
      <c r="C59" s="132">
        <v>2.9898380810171E-3</v>
      </c>
      <c r="D59" s="131">
        <v>1.34611715235239E-3</v>
      </c>
      <c r="E59" s="132">
        <v>1.4821024565185999E-3</v>
      </c>
      <c r="F59" s="131">
        <v>1.43499813015023E-3</v>
      </c>
      <c r="G59" s="132">
        <v>1.5982048027725999E-3</v>
      </c>
    </row>
    <row r="60" spans="1:7">
      <c r="A60" s="124">
        <v>56</v>
      </c>
      <c r="B60" s="131">
        <v>2.7086563505100501E-3</v>
      </c>
      <c r="C60" s="132">
        <v>3.0901572449480901E-3</v>
      </c>
      <c r="D60" s="131">
        <v>1.36833874125261E-3</v>
      </c>
      <c r="E60" s="132">
        <v>1.5188560027903899E-3</v>
      </c>
      <c r="F60" s="131">
        <v>1.46446162241199E-3</v>
      </c>
      <c r="G60" s="132">
        <v>1.64632261811908E-3</v>
      </c>
    </row>
    <row r="61" spans="1:7">
      <c r="A61" s="124">
        <v>57</v>
      </c>
      <c r="B61" s="131">
        <v>2.76118241741935E-3</v>
      </c>
      <c r="C61" s="132">
        <v>3.18521223761925E-3</v>
      </c>
      <c r="D61" s="131">
        <v>1.3859239244694501E-3</v>
      </c>
      <c r="E61" s="132">
        <v>1.5513501631135699E-3</v>
      </c>
      <c r="F61" s="131">
        <v>1.4895206547248499E-3</v>
      </c>
      <c r="G61" s="132">
        <v>1.69081988906622E-3</v>
      </c>
    </row>
    <row r="62" spans="1:7">
      <c r="A62" s="124">
        <v>58</v>
      </c>
      <c r="B62" s="131">
        <v>2.8092667084555602E-3</v>
      </c>
      <c r="C62" s="132">
        <v>3.2783464927987802E-3</v>
      </c>
      <c r="D62" s="131">
        <v>1.4007795255518E-3</v>
      </c>
      <c r="E62" s="132">
        <v>1.58166279472088E-3</v>
      </c>
      <c r="F62" s="131">
        <v>1.51198608992169E-3</v>
      </c>
      <c r="G62" s="132">
        <v>1.7337219419715901E-3</v>
      </c>
    </row>
    <row r="63" spans="1:7">
      <c r="A63" s="124">
        <v>59</v>
      </c>
      <c r="B63" s="131">
        <v>2.8581877850189499E-3</v>
      </c>
      <c r="C63" s="132">
        <v>3.3758767069956902E-3</v>
      </c>
      <c r="D63" s="131">
        <v>1.41841498831969E-3</v>
      </c>
      <c r="E63" s="132">
        <v>1.61604747669223E-3</v>
      </c>
      <c r="F63" s="131">
        <v>1.53636332288464E-3</v>
      </c>
      <c r="G63" s="132">
        <v>1.7802300014838901E-3</v>
      </c>
    </row>
    <row r="64" spans="1:7">
      <c r="A64" s="124">
        <v>60</v>
      </c>
      <c r="B64" s="131">
        <v>2.9160999103535201E-3</v>
      </c>
      <c r="C64" s="132">
        <v>3.4878842065012802E-3</v>
      </c>
      <c r="D64" s="131">
        <v>1.4446665780410799E-3</v>
      </c>
      <c r="E64" s="132">
        <v>1.6613665647472399E-3</v>
      </c>
      <c r="F64" s="131">
        <v>1.56808914630873E-3</v>
      </c>
      <c r="G64" s="132">
        <v>1.83686628206909E-3</v>
      </c>
    </row>
    <row r="65" spans="1:7">
      <c r="A65" s="124">
        <v>61</v>
      </c>
      <c r="B65" s="131">
        <v>3.0791533603013298E-3</v>
      </c>
      <c r="C65" s="132">
        <v>3.6821694686580602E-3</v>
      </c>
      <c r="D65" s="131">
        <v>1.51628684651816E-3</v>
      </c>
      <c r="E65" s="132">
        <v>1.74347154760915E-3</v>
      </c>
      <c r="F65" s="131">
        <v>1.6522899933477499E-3</v>
      </c>
      <c r="G65" s="132">
        <v>1.9351606081667899E-3</v>
      </c>
    </row>
    <row r="66" spans="1:7">
      <c r="A66" s="124">
        <v>62</v>
      </c>
      <c r="B66" s="131">
        <v>3.2766746806052799E-3</v>
      </c>
      <c r="C66" s="132">
        <v>3.9160180213855204E-3</v>
      </c>
      <c r="D66" s="131">
        <v>1.60509439937958E-3</v>
      </c>
      <c r="E66" s="132">
        <v>1.84476641068182E-3</v>
      </c>
      <c r="F66" s="131">
        <v>1.75532425020813E-3</v>
      </c>
      <c r="G66" s="132">
        <v>2.0547398244933502E-3</v>
      </c>
    </row>
    <row r="67" spans="1:7">
      <c r="A67" s="124">
        <v>63</v>
      </c>
      <c r="B67" s="131">
        <v>3.5139529112212802E-3</v>
      </c>
      <c r="C67" s="132">
        <v>4.1954047562442597E-3</v>
      </c>
      <c r="D67" s="131">
        <v>1.71258033429376E-3</v>
      </c>
      <c r="E67" s="132">
        <v>1.96685216646226E-3</v>
      </c>
      <c r="F67" s="131">
        <v>1.87904544310968E-3</v>
      </c>
      <c r="G67" s="132">
        <v>2.19763766611435E-3</v>
      </c>
    </row>
    <row r="68" spans="1:7">
      <c r="A68" s="124">
        <v>64</v>
      </c>
      <c r="B68" s="131">
        <v>3.7906048939013999E-3</v>
      </c>
      <c r="C68" s="132">
        <v>4.5194257998952599E-3</v>
      </c>
      <c r="D68" s="131">
        <v>1.8386175254900799E-3</v>
      </c>
      <c r="E68" s="132">
        <v>2.10943643693175E-3</v>
      </c>
      <c r="F68" s="131">
        <v>2.0231718862866498E-3</v>
      </c>
      <c r="G68" s="132">
        <v>2.3633217449658401E-3</v>
      </c>
    </row>
    <row r="69" spans="1:7">
      <c r="A69" s="124">
        <v>65</v>
      </c>
      <c r="B69" s="131">
        <v>4.1016263671639604E-3</v>
      </c>
      <c r="C69" s="132">
        <v>4.8815915381006702E-3</v>
      </c>
      <c r="D69" s="131">
        <v>1.9822554772329702E-3</v>
      </c>
      <c r="E69" s="132">
        <v>2.2712533129389499E-3</v>
      </c>
      <c r="F69" s="131">
        <v>2.1858098044417501E-3</v>
      </c>
      <c r="G69" s="132">
        <v>2.54932295367629E-3</v>
      </c>
    </row>
    <row r="70" spans="1:7">
      <c r="A70" s="124">
        <v>66</v>
      </c>
      <c r="B70" s="131">
        <v>4.4440886060869199E-3</v>
      </c>
      <c r="C70" s="132">
        <v>5.2778483320981397E-3</v>
      </c>
      <c r="D70" s="131">
        <v>2.1544231567195101E-3</v>
      </c>
      <c r="E70" s="132">
        <v>2.46460528114655E-3</v>
      </c>
      <c r="F70" s="131">
        <v>2.3736941318018498E-3</v>
      </c>
      <c r="G70" s="132">
        <v>2.7630429722483398E-3</v>
      </c>
    </row>
    <row r="71" spans="1:7">
      <c r="A71" s="124">
        <v>67</v>
      </c>
      <c r="B71" s="131">
        <v>4.8183097103799101E-3</v>
      </c>
      <c r="C71" s="132">
        <v>5.7079655907622002E-3</v>
      </c>
      <c r="D71" s="131">
        <v>2.3515858331349501E-3</v>
      </c>
      <c r="E71" s="132">
        <v>2.6851627349068802E-3</v>
      </c>
      <c r="F71" s="131">
        <v>2.5843250556063101E-3</v>
      </c>
      <c r="G71" s="132">
        <v>3.0013003580965699E-3</v>
      </c>
    </row>
    <row r="72" spans="1:7">
      <c r="A72" s="124">
        <v>68</v>
      </c>
      <c r="B72" s="131">
        <v>5.22673050208468E-3</v>
      </c>
      <c r="C72" s="132">
        <v>6.1741740976287299E-3</v>
      </c>
      <c r="D72" s="131">
        <v>2.5697816211085502E-3</v>
      </c>
      <c r="E72" s="132">
        <v>2.9281032837701602E-3</v>
      </c>
      <c r="F72" s="131">
        <v>2.8156954137165502E-3</v>
      </c>
      <c r="G72" s="132">
        <v>3.2614802446806201E-3</v>
      </c>
    </row>
    <row r="73" spans="1:7">
      <c r="A73" s="124">
        <v>69</v>
      </c>
      <c r="B73" s="131">
        <v>5.6718046996459496E-3</v>
      </c>
      <c r="C73" s="132">
        <v>6.6786496246494199E-3</v>
      </c>
      <c r="D73" s="131">
        <v>2.79995499483547E-3</v>
      </c>
      <c r="E73" s="132">
        <v>3.1828273392790199E-3</v>
      </c>
      <c r="F73" s="131">
        <v>3.0619067026458899E-3</v>
      </c>
      <c r="G73" s="132">
        <v>3.5365354491427299E-3</v>
      </c>
    </row>
    <row r="74" spans="1:7">
      <c r="A74" s="124">
        <v>70</v>
      </c>
      <c r="B74" s="131">
        <v>6.1567803673308902E-3</v>
      </c>
      <c r="C74" s="132">
        <v>7.2244301420125497E-3</v>
      </c>
      <c r="D74" s="131">
        <v>3.0559264537566E-3</v>
      </c>
      <c r="E74" s="132">
        <v>3.46475985770512E-3</v>
      </c>
      <c r="F74" s="131">
        <v>3.3329440469599902E-3</v>
      </c>
      <c r="G74" s="132">
        <v>3.8374794748117298E-3</v>
      </c>
    </row>
    <row r="75" spans="1:7">
      <c r="A75" s="124">
        <v>71</v>
      </c>
      <c r="B75" s="131">
        <v>6.6872670716541498E-3</v>
      </c>
      <c r="C75" s="132">
        <v>7.8172317689517903E-3</v>
      </c>
      <c r="D75" s="131">
        <v>3.3393865284911499E-3</v>
      </c>
      <c r="E75" s="132">
        <v>3.77543296836505E-3</v>
      </c>
      <c r="F75" s="131">
        <v>3.63087954022525E-3</v>
      </c>
      <c r="G75" s="132">
        <v>4.1662660055840298E-3</v>
      </c>
    </row>
    <row r="76" spans="1:7">
      <c r="A76" s="124">
        <v>72</v>
      </c>
      <c r="B76" s="131">
        <v>7.2709701956186496E-3</v>
      </c>
      <c r="C76" s="132">
        <v>8.46508369101894E-3</v>
      </c>
      <c r="D76" s="131">
        <v>3.6703042059627799E-3</v>
      </c>
      <c r="E76" s="132">
        <v>4.1369394104719404E-3</v>
      </c>
      <c r="F76" s="131">
        <v>3.9708051770830496E-3</v>
      </c>
      <c r="G76" s="132">
        <v>4.5394964954821801E-3</v>
      </c>
    </row>
    <row r="77" spans="1:7">
      <c r="A77" s="124">
        <v>73</v>
      </c>
      <c r="B77" s="131">
        <v>7.9189547350916999E-3</v>
      </c>
      <c r="C77" s="132">
        <v>9.1797355704090894E-3</v>
      </c>
      <c r="D77" s="131">
        <v>4.0548707432785502E-3</v>
      </c>
      <c r="E77" s="132">
        <v>4.5555850393662004E-3</v>
      </c>
      <c r="F77" s="131">
        <v>4.3590447707613604E-3</v>
      </c>
      <c r="G77" s="132">
        <v>4.9637038684330398E-3</v>
      </c>
    </row>
    <row r="78" spans="1:7">
      <c r="A78" s="124">
        <v>74</v>
      </c>
      <c r="B78" s="131">
        <v>8.6394859240187805E-3</v>
      </c>
      <c r="C78" s="132">
        <v>9.9694537146115605E-3</v>
      </c>
      <c r="D78" s="131">
        <v>4.5147987986845998E-3</v>
      </c>
      <c r="E78" s="132">
        <v>5.0549239224727E-3</v>
      </c>
      <c r="F78" s="131">
        <v>4.8115825886211197E-3</v>
      </c>
      <c r="G78" s="132">
        <v>5.4560816878258204E-3</v>
      </c>
    </row>
    <row r="79" spans="1:7">
      <c r="A79" s="124">
        <v>75</v>
      </c>
      <c r="B79" s="131">
        <v>9.4382170993158303E-3</v>
      </c>
      <c r="C79" s="132">
        <v>1.0839301958863399E-2</v>
      </c>
      <c r="D79" s="131">
        <v>5.0584511506028603E-3</v>
      </c>
      <c r="E79" s="132">
        <v>5.6432338791598197E-3</v>
      </c>
      <c r="F79" s="131">
        <v>5.33452784675082E-3</v>
      </c>
      <c r="G79" s="132">
        <v>6.0224872396648799E-3</v>
      </c>
    </row>
    <row r="80" spans="1:7">
      <c r="A80" s="124">
        <v>76</v>
      </c>
      <c r="B80" s="131">
        <v>1.0339958473588999E-2</v>
      </c>
      <c r="C80" s="132">
        <v>1.1816091226446701E-2</v>
      </c>
      <c r="D80" s="131">
        <v>5.6808022245294198E-3</v>
      </c>
      <c r="E80" s="132">
        <v>6.3137276170694302E-3</v>
      </c>
      <c r="F80" s="131">
        <v>5.9304713268629799E-3</v>
      </c>
      <c r="G80" s="132">
        <v>6.6648576566604402E-3</v>
      </c>
    </row>
    <row r="81" spans="1:7">
      <c r="A81" s="124">
        <v>77</v>
      </c>
      <c r="B81" s="131">
        <v>1.1360657095177499E-2</v>
      </c>
      <c r="C81" s="132">
        <v>1.2915968908105299E-2</v>
      </c>
      <c r="D81" s="131">
        <v>6.3909273487583297E-3</v>
      </c>
      <c r="E81" s="132">
        <v>7.0752763658597896E-3</v>
      </c>
      <c r="F81" s="131">
        <v>6.6089345401861201E-3</v>
      </c>
      <c r="G81" s="132">
        <v>7.3926238705890497E-3</v>
      </c>
    </row>
    <row r="82" spans="1:7">
      <c r="A82" s="124">
        <v>78</v>
      </c>
      <c r="B82" s="131">
        <v>1.2525692154040299E-2</v>
      </c>
      <c r="C82" s="132">
        <v>1.4165355577709199E-2</v>
      </c>
      <c r="D82" s="131">
        <v>7.19944094162203E-3</v>
      </c>
      <c r="E82" s="132">
        <v>7.9382644432057208E-3</v>
      </c>
      <c r="F82" s="131">
        <v>7.3829573941825901E-3</v>
      </c>
      <c r="G82" s="132">
        <v>8.2189395628602304E-3</v>
      </c>
    </row>
    <row r="83" spans="1:7">
      <c r="A83" s="124">
        <v>79</v>
      </c>
      <c r="B83" s="131">
        <v>1.39996400540746E-2</v>
      </c>
      <c r="C83" s="132">
        <v>1.5746616459013599E-2</v>
      </c>
      <c r="D83" s="131">
        <v>8.1409916916276703E-3</v>
      </c>
      <c r="E83" s="132">
        <v>8.9392571415187402E-3</v>
      </c>
      <c r="F83" s="131">
        <v>8.3208722372127009E-3</v>
      </c>
      <c r="G83" s="132">
        <v>9.2181856955530703E-3</v>
      </c>
    </row>
    <row r="84" spans="1:7">
      <c r="A84" s="124">
        <v>80</v>
      </c>
      <c r="B84" s="131">
        <v>1.5810577326663001E-2</v>
      </c>
      <c r="C84" s="132">
        <v>1.76853493416823E-2</v>
      </c>
      <c r="D84" s="131">
        <v>9.2667546353225206E-3</v>
      </c>
      <c r="E84" s="132">
        <v>1.0132234549376199E-2</v>
      </c>
      <c r="F84" s="131">
        <v>9.4628067056945694E-3</v>
      </c>
      <c r="G84" s="132">
        <v>1.04315630039408E-2</v>
      </c>
    </row>
    <row r="85" spans="1:7">
      <c r="A85" s="124">
        <v>81</v>
      </c>
      <c r="B85" s="131">
        <v>1.8015939000319701E-2</v>
      </c>
      <c r="C85" s="132">
        <v>2.0039064241468299E-2</v>
      </c>
      <c r="D85" s="131">
        <v>1.0626834303197099E-2</v>
      </c>
      <c r="E85" s="132">
        <v>1.1569030352143199E-2</v>
      </c>
      <c r="F85" s="131">
        <v>1.08562583690264E-2</v>
      </c>
      <c r="G85" s="132">
        <v>1.19076087726407E-2</v>
      </c>
    </row>
    <row r="86" spans="1:7">
      <c r="A86" s="124">
        <v>82</v>
      </c>
      <c r="B86" s="131">
        <v>2.0713562815597299E-2</v>
      </c>
      <c r="C86" s="132">
        <v>2.2908512880374401E-2</v>
      </c>
      <c r="D86" s="131">
        <v>1.2236767069667399E-2</v>
      </c>
      <c r="E86" s="132">
        <v>1.32630370132858E-2</v>
      </c>
      <c r="F86" s="131">
        <v>1.25360278217582E-2</v>
      </c>
      <c r="G86" s="132">
        <v>1.36801256882265E-2</v>
      </c>
    </row>
    <row r="87" spans="1:7">
      <c r="A87" s="124">
        <v>83</v>
      </c>
      <c r="B87" s="131">
        <v>2.37798302239478E-2</v>
      </c>
      <c r="C87" s="132">
        <v>2.6148502220101798E-2</v>
      </c>
      <c r="D87" s="131">
        <v>1.41988694965811E-2</v>
      </c>
      <c r="E87" s="132">
        <v>1.53209808614969E-2</v>
      </c>
      <c r="F87" s="131">
        <v>1.4538465175691099E-2</v>
      </c>
      <c r="G87" s="132">
        <v>1.5783290625161001E-2</v>
      </c>
    </row>
    <row r="88" spans="1:7">
      <c r="A88" s="124">
        <v>84</v>
      </c>
      <c r="B88" s="131">
        <v>2.7251640085505902E-2</v>
      </c>
      <c r="C88" s="132">
        <v>2.9792585548024001E-2</v>
      </c>
      <c r="D88" s="131">
        <v>1.66329288627125E-2</v>
      </c>
      <c r="E88" s="132">
        <v>1.7866382014329399E-2</v>
      </c>
      <c r="F88" s="131">
        <v>1.6957505823056801E-2</v>
      </c>
      <c r="G88" s="132">
        <v>1.8313302770306902E-2</v>
      </c>
    </row>
    <row r="89" spans="1:7">
      <c r="A89" s="124">
        <v>85</v>
      </c>
      <c r="B89" s="131">
        <v>3.13576751138561E-2</v>
      </c>
      <c r="C89" s="132">
        <v>3.4081999750613497E-2</v>
      </c>
      <c r="D89" s="131">
        <v>1.9620452058908701E-2</v>
      </c>
      <c r="E89" s="132">
        <v>2.09795221234843E-2</v>
      </c>
      <c r="F89" s="131">
        <v>1.99090475291064E-2</v>
      </c>
      <c r="G89" s="132">
        <v>2.1388230140984999E-2</v>
      </c>
    </row>
    <row r="90" spans="1:7">
      <c r="A90" s="124">
        <v>86</v>
      </c>
      <c r="B90" s="131">
        <v>3.6280161900753997E-2</v>
      </c>
      <c r="C90" s="132">
        <v>3.9202206947674997E-2</v>
      </c>
      <c r="D90" s="131">
        <v>2.33372450846175E-2</v>
      </c>
      <c r="E90" s="132">
        <v>2.4839523578791101E-2</v>
      </c>
      <c r="F90" s="131">
        <v>2.3562864229055298E-2</v>
      </c>
      <c r="G90" s="132">
        <v>2.5181064320705802E-2</v>
      </c>
    </row>
    <row r="91" spans="1:7">
      <c r="A91" s="124">
        <v>87</v>
      </c>
      <c r="B91" s="131">
        <v>4.2142290979008797E-2</v>
      </c>
      <c r="C91" s="132">
        <v>4.5270966616168098E-2</v>
      </c>
      <c r="D91" s="131">
        <v>2.7829739832867899E-2</v>
      </c>
      <c r="E91" s="132">
        <v>2.9485114635268699E-2</v>
      </c>
      <c r="F91" s="131">
        <v>2.79933554018932E-2</v>
      </c>
      <c r="G91" s="132">
        <v>2.9759857556621201E-2</v>
      </c>
    </row>
    <row r="92" spans="1:7">
      <c r="A92" s="124">
        <v>88</v>
      </c>
      <c r="B92" s="131">
        <v>4.9121486027744202E-2</v>
      </c>
      <c r="C92" s="132">
        <v>5.24613017688653E-2</v>
      </c>
      <c r="D92" s="131">
        <v>3.3307701086597398E-2</v>
      </c>
      <c r="E92" s="132">
        <v>3.5126547969424902E-2</v>
      </c>
      <c r="F92" s="131">
        <v>3.3397722168635603E-2</v>
      </c>
      <c r="G92" s="132">
        <v>3.53213020067151E-2</v>
      </c>
    </row>
    <row r="93" spans="1:7">
      <c r="A93" s="124">
        <v>89</v>
      </c>
      <c r="B93" s="131">
        <v>5.7378818799534402E-2</v>
      </c>
      <c r="C93" s="132">
        <v>6.0925018464774397E-2</v>
      </c>
      <c r="D93" s="131">
        <v>4.0084071890876601E-2</v>
      </c>
      <c r="E93" s="132">
        <v>4.2078560644205697E-2</v>
      </c>
      <c r="F93" s="131">
        <v>4.0033141608415E-2</v>
      </c>
      <c r="G93" s="132">
        <v>4.2121755102023997E-2</v>
      </c>
    </row>
    <row r="94" spans="1:7">
      <c r="A94" s="124">
        <v>90</v>
      </c>
      <c r="B94" s="131">
        <v>6.6996023920196199E-2</v>
      </c>
      <c r="C94" s="132">
        <v>7.0726908307160205E-2</v>
      </c>
      <c r="D94" s="131">
        <v>4.8305270284768401E-2</v>
      </c>
      <c r="E94" s="132">
        <v>5.0476188073831002E-2</v>
      </c>
      <c r="F94" s="131">
        <v>4.8029165408017001E-2</v>
      </c>
      <c r="G94" s="132">
        <v>5.0279143235064098E-2</v>
      </c>
    </row>
    <row r="95" spans="1:7">
      <c r="A95" s="124">
        <v>91</v>
      </c>
      <c r="B95" s="131">
        <v>7.8333081870240906E-2</v>
      </c>
      <c r="C95" s="132">
        <v>8.2222679218505595E-2</v>
      </c>
      <c r="D95" s="131">
        <v>5.8166943963750599E-2</v>
      </c>
      <c r="E95" s="132">
        <v>6.0503349821809202E-2</v>
      </c>
      <c r="F95" s="131">
        <v>5.7629671324716802E-2</v>
      </c>
      <c r="G95" s="132">
        <v>6.0028033421228602E-2</v>
      </c>
    </row>
    <row r="96" spans="1:7">
      <c r="A96" s="124">
        <v>92</v>
      </c>
      <c r="B96" s="131">
        <v>9.12744566151589E-2</v>
      </c>
      <c r="C96" s="132">
        <v>9.5264112319561195E-2</v>
      </c>
      <c r="D96" s="131">
        <v>6.9909977352470606E-2</v>
      </c>
      <c r="E96" s="132">
        <v>7.2387693733578395E-2</v>
      </c>
      <c r="F96" s="131">
        <v>6.8986968042788005E-2</v>
      </c>
      <c r="G96" s="132">
        <v>7.1505221781228506E-2</v>
      </c>
    </row>
    <row r="97" spans="1:7">
      <c r="A97" s="124">
        <v>93</v>
      </c>
      <c r="B97" s="131">
        <v>0.10641674063695999</v>
      </c>
      <c r="C97" s="132">
        <v>0.110445975339244</v>
      </c>
      <c r="D97" s="131">
        <v>8.3611779203049297E-2</v>
      </c>
      <c r="E97" s="132">
        <v>8.6184578430633998E-2</v>
      </c>
      <c r="F97" s="131">
        <v>8.23269771685574E-2</v>
      </c>
      <c r="G97" s="132">
        <v>8.4918572049046903E-2</v>
      </c>
    </row>
    <row r="98" spans="1:7">
      <c r="A98" s="124">
        <v>94</v>
      </c>
      <c r="B98" s="131">
        <v>0.12422712566368201</v>
      </c>
      <c r="C98" s="132">
        <v>0.12821694394112401</v>
      </c>
      <c r="D98" s="131">
        <v>9.9219590713270495E-2</v>
      </c>
      <c r="E98" s="132">
        <v>0.101815229627588</v>
      </c>
      <c r="F98" s="131">
        <v>9.7738078291399397E-2</v>
      </c>
      <c r="G98" s="132">
        <v>0.10033003214177499</v>
      </c>
    </row>
    <row r="99" spans="1:7">
      <c r="A99" s="124">
        <v>95</v>
      </c>
      <c r="B99" s="131">
        <v>0.145858223587889</v>
      </c>
      <c r="C99" s="132">
        <v>0.14972031247371101</v>
      </c>
      <c r="D99" s="131">
        <v>0.11655954757205</v>
      </c>
      <c r="E99" s="132">
        <v>0.119079066176773</v>
      </c>
      <c r="F99" s="131">
        <v>0.115378146529015</v>
      </c>
      <c r="G99" s="132">
        <v>0.117867144137491</v>
      </c>
    </row>
    <row r="100" spans="1:7">
      <c r="A100" s="124">
        <v>96</v>
      </c>
      <c r="B100" s="131">
        <v>0.17191331124710699</v>
      </c>
      <c r="C100" s="132">
        <v>0.17551497947259501</v>
      </c>
      <c r="D100" s="131">
        <v>0.13668211008939099</v>
      </c>
      <c r="E100" s="132">
        <v>0.13902491170300599</v>
      </c>
      <c r="F100" s="131">
        <v>0.13617761103714199</v>
      </c>
      <c r="G100" s="132">
        <v>0.138449877175851</v>
      </c>
    </row>
    <row r="101" spans="1:7">
      <c r="A101" s="124">
        <v>97</v>
      </c>
      <c r="B101" s="131">
        <v>0.202688551606967</v>
      </c>
      <c r="C101" s="132">
        <v>0.205837646341412</v>
      </c>
      <c r="D101" s="131">
        <v>0.16008837213378399</v>
      </c>
      <c r="E101" s="132">
        <v>0.162127665039729</v>
      </c>
      <c r="F101" s="131">
        <v>0.16055713256642301</v>
      </c>
      <c r="G101" s="132">
        <v>0.162466143483327</v>
      </c>
    </row>
    <row r="102" spans="1:7">
      <c r="A102" s="124">
        <v>98</v>
      </c>
      <c r="B102" s="131">
        <v>0.235659055640459</v>
      </c>
      <c r="C102" s="132">
        <v>0.23807201034391101</v>
      </c>
      <c r="D102" s="131">
        <v>0.186744530085899</v>
      </c>
      <c r="E102" s="132">
        <v>0.18831558649994401</v>
      </c>
      <c r="F102" s="131">
        <v>0.18783789275174601</v>
      </c>
      <c r="G102" s="132">
        <v>0.18920519356918</v>
      </c>
    </row>
    <row r="103" spans="1:7">
      <c r="A103" s="124">
        <v>99</v>
      </c>
      <c r="B103" s="131">
        <v>0.27095322962168</v>
      </c>
      <c r="C103" s="132">
        <v>0.27232423085400198</v>
      </c>
      <c r="D103" s="131">
        <v>0.216829359926513</v>
      </c>
      <c r="E103" s="132">
        <v>0.217732671220144</v>
      </c>
      <c r="F103" s="131">
        <v>0.218210281136717</v>
      </c>
      <c r="G103" s="132">
        <v>0.21883256488008199</v>
      </c>
    </row>
    <row r="104" spans="1:7">
      <c r="A104" s="124">
        <v>100</v>
      </c>
      <c r="B104" s="131">
        <v>0.309692439035814</v>
      </c>
      <c r="C104" s="132">
        <v>0.309692439035814</v>
      </c>
      <c r="D104" s="131">
        <v>0.25025672621789202</v>
      </c>
      <c r="E104" s="132">
        <v>0.25025672621789202</v>
      </c>
      <c r="F104" s="131">
        <v>0.25187484310631603</v>
      </c>
      <c r="G104" s="133">
        <v>0.25187484310631603</v>
      </c>
    </row>
    <row r="105" spans="1:7">
      <c r="A105" s="124">
        <v>101</v>
      </c>
      <c r="B105" s="131">
        <v>0.342308311515234</v>
      </c>
      <c r="C105" s="132">
        <v>0.342308311515234</v>
      </c>
      <c r="D105" s="131">
        <v>0.27990127549419402</v>
      </c>
      <c r="E105" s="132">
        <v>0.27990127549419402</v>
      </c>
      <c r="F105" s="131">
        <v>0.281428822230746</v>
      </c>
      <c r="G105" s="133">
        <v>0.281428822230746</v>
      </c>
    </row>
    <row r="106" spans="1:7">
      <c r="A106" s="124">
        <v>102</v>
      </c>
      <c r="B106" s="131">
        <v>0.37531898271435499</v>
      </c>
      <c r="C106" s="132">
        <v>0.37531898271435499</v>
      </c>
      <c r="D106" s="131">
        <v>0.310493137305417</v>
      </c>
      <c r="E106" s="132">
        <v>0.310493137305417</v>
      </c>
      <c r="F106" s="131">
        <v>0.31179145469265401</v>
      </c>
      <c r="G106" s="133">
        <v>0.31179145469265401</v>
      </c>
    </row>
    <row r="107" spans="1:7">
      <c r="A107" s="124">
        <v>103</v>
      </c>
      <c r="B107" s="131">
        <v>0.40855260513677899</v>
      </c>
      <c r="C107" s="132">
        <v>0.40855260513677899</v>
      </c>
      <c r="D107" s="131">
        <v>0.341867025680887</v>
      </c>
      <c r="E107" s="132">
        <v>0.341867025680887</v>
      </c>
      <c r="F107" s="131">
        <v>0.342816690671225</v>
      </c>
      <c r="G107" s="133">
        <v>0.342816690671225</v>
      </c>
    </row>
    <row r="108" spans="1:7">
      <c r="A108" s="124">
        <v>104</v>
      </c>
      <c r="B108" s="131">
        <v>0.441870280793703</v>
      </c>
      <c r="C108" s="132">
        <v>0.441870280793703</v>
      </c>
      <c r="D108" s="131">
        <v>0.37388206334996499</v>
      </c>
      <c r="E108" s="132">
        <v>0.37388206334996499</v>
      </c>
      <c r="F108" s="131">
        <v>0.37438841482345597</v>
      </c>
      <c r="G108" s="133">
        <v>0.37438841482345597</v>
      </c>
    </row>
    <row r="109" spans="1:7">
      <c r="A109" s="124">
        <v>105</v>
      </c>
      <c r="B109" s="131">
        <v>0.47516019352203198</v>
      </c>
      <c r="C109" s="132">
        <v>0.47516019352203198</v>
      </c>
      <c r="D109" s="131">
        <v>0.40641251373158599</v>
      </c>
      <c r="E109" s="132">
        <v>0.40641251373158599</v>
      </c>
      <c r="F109" s="131">
        <v>0.40640996868947699</v>
      </c>
      <c r="G109" s="133">
        <v>0.40640996868947699</v>
      </c>
    </row>
    <row r="110" spans="1:7">
      <c r="A110" s="124">
        <v>106</v>
      </c>
      <c r="B110" s="131">
        <v>0.50833221787649896</v>
      </c>
      <c r="C110" s="132">
        <v>0.50833221787649896</v>
      </c>
      <c r="D110" s="131">
        <v>0.43933946863164097</v>
      </c>
      <c r="E110" s="132">
        <v>0.43933946863164097</v>
      </c>
      <c r="F110" s="131">
        <v>0.43879378914905798</v>
      </c>
      <c r="G110" s="133">
        <v>0.43879378914905798</v>
      </c>
    </row>
    <row r="111" spans="1:7">
      <c r="A111" s="124">
        <v>107</v>
      </c>
      <c r="B111" s="131">
        <v>0.54131500495428397</v>
      </c>
      <c r="C111" s="132">
        <v>0.54131500495428397</v>
      </c>
      <c r="D111" s="131">
        <v>0.47255608938671501</v>
      </c>
      <c r="E111" s="132">
        <v>0.47255608938671501</v>
      </c>
      <c r="F111" s="131">
        <v>0.47146288737299002</v>
      </c>
      <c r="G111" s="133">
        <v>0.47146288737299002</v>
      </c>
    </row>
    <row r="112" spans="1:7">
      <c r="A112" s="124">
        <v>108</v>
      </c>
      <c r="B112" s="131">
        <v>0.57405428641198197</v>
      </c>
      <c r="C112" s="132">
        <v>0.57405428641198197</v>
      </c>
      <c r="D112" s="131">
        <v>0.50596789888998295</v>
      </c>
      <c r="E112" s="132">
        <v>0.50596789888998295</v>
      </c>
      <c r="F112" s="131">
        <v>0.50434915454729501</v>
      </c>
      <c r="G112" s="133">
        <v>0.50434915454729501</v>
      </c>
    </row>
    <row r="113" spans="1:7">
      <c r="A113" s="124">
        <v>109</v>
      </c>
      <c r="B113" s="131">
        <v>0.60650988500986502</v>
      </c>
      <c r="C113" s="132">
        <v>0.60650988500986502</v>
      </c>
      <c r="D113" s="131">
        <v>0.539491774149643</v>
      </c>
      <c r="E113" s="132">
        <v>0.539491774149643</v>
      </c>
      <c r="F113" s="131">
        <v>0.53739100341462798</v>
      </c>
      <c r="G113" s="133">
        <v>0.53739100341462798</v>
      </c>
    </row>
    <row r="114" spans="1:7">
      <c r="A114" s="124">
        <v>110</v>
      </c>
      <c r="B114" s="131">
        <v>0.63865444713379504</v>
      </c>
      <c r="C114" s="132">
        <v>0.63865444713379504</v>
      </c>
      <c r="D114" s="131">
        <v>0.57305565226539701</v>
      </c>
      <c r="E114" s="132">
        <v>0.57305565226539701</v>
      </c>
      <c r="F114" s="131">
        <v>0.57053242649166802</v>
      </c>
      <c r="G114" s="133">
        <v>0.57053242649166802</v>
      </c>
    </row>
    <row r="115" spans="1:7">
      <c r="A115" s="124">
        <v>111</v>
      </c>
      <c r="B115" s="131">
        <v>0.67047065722583798</v>
      </c>
      <c r="C115" s="132">
        <v>0.67047065722583798</v>
      </c>
      <c r="D115" s="131">
        <v>0.60659774718283999</v>
      </c>
      <c r="E115" s="132">
        <v>0.60659774718283999</v>
      </c>
      <c r="F115" s="131">
        <v>0.60372204369598104</v>
      </c>
      <c r="G115" s="133">
        <v>0.60372204369598104</v>
      </c>
    </row>
    <row r="116" spans="1:7">
      <c r="A116" s="124">
        <v>112</v>
      </c>
      <c r="B116" s="131">
        <v>0.70194995475907396</v>
      </c>
      <c r="C116" s="132">
        <v>0.70194995475907396</v>
      </c>
      <c r="D116" s="131">
        <v>0.64006589109666401</v>
      </c>
      <c r="E116" s="132">
        <v>0.64006589109666401</v>
      </c>
      <c r="F116" s="131">
        <v>0.63691285662881603</v>
      </c>
      <c r="G116" s="133">
        <v>0.63691285662881603</v>
      </c>
    </row>
    <row r="117" spans="1:7">
      <c r="A117" s="124">
        <v>113</v>
      </c>
      <c r="B117" s="131">
        <v>0.73521851333130595</v>
      </c>
      <c r="C117" s="132">
        <v>0.73521851333130595</v>
      </c>
      <c r="D117" s="131">
        <v>0.67869447649981496</v>
      </c>
      <c r="E117" s="132">
        <v>0.67869447649981496</v>
      </c>
      <c r="F117" s="131">
        <v>0.67516542347146102</v>
      </c>
      <c r="G117" s="133">
        <v>0.67516542347146102</v>
      </c>
    </row>
    <row r="118" spans="1:7">
      <c r="A118" s="124">
        <v>114</v>
      </c>
      <c r="B118" s="131">
        <v>0.76314370786519603</v>
      </c>
      <c r="C118" s="132">
        <v>0.76314370786519603</v>
      </c>
      <c r="D118" s="131">
        <v>0.71011524818806004</v>
      </c>
      <c r="E118" s="132">
        <v>0.71011524818806004</v>
      </c>
      <c r="F118" s="131">
        <v>0.70647682498318698</v>
      </c>
      <c r="G118" s="133">
        <v>0.70647682498318698</v>
      </c>
    </row>
    <row r="119" spans="1:7">
      <c r="A119" s="124">
        <v>115</v>
      </c>
      <c r="B119" s="131">
        <v>0.78949431017506999</v>
      </c>
      <c r="C119" s="132">
        <v>0.78949431017506999</v>
      </c>
      <c r="D119" s="131">
        <v>0.74006031188655197</v>
      </c>
      <c r="E119" s="132">
        <v>0.74006031188655197</v>
      </c>
      <c r="F119" s="131">
        <v>0.73640021807776201</v>
      </c>
      <c r="G119" s="133">
        <v>0.73640021807776201</v>
      </c>
    </row>
    <row r="120" spans="1:7">
      <c r="A120" s="124">
        <v>116</v>
      </c>
      <c r="B120" s="131">
        <v>0.81417028417384696</v>
      </c>
      <c r="C120" s="132">
        <v>0.81417028417384696</v>
      </c>
      <c r="D120" s="131">
        <v>0.76835351621793202</v>
      </c>
      <c r="E120" s="132">
        <v>0.76835351621793202</v>
      </c>
      <c r="F120" s="131">
        <v>0.76474583134577301</v>
      </c>
      <c r="G120" s="133">
        <v>0.76474583134577301</v>
      </c>
    </row>
    <row r="121" spans="1:7">
      <c r="A121" s="124">
        <v>117</v>
      </c>
      <c r="B121" s="131">
        <v>0.83709527364650904</v>
      </c>
      <c r="C121" s="132">
        <v>0.83709527364650904</v>
      </c>
      <c r="D121" s="131">
        <v>0.79484903018840303</v>
      </c>
      <c r="E121" s="132">
        <v>0.79484903018840303</v>
      </c>
      <c r="F121" s="131">
        <v>0.79135326923170302</v>
      </c>
      <c r="G121" s="133">
        <v>0.79135326923170302</v>
      </c>
    </row>
    <row r="122" spans="1:7">
      <c r="A122" s="124">
        <v>118</v>
      </c>
      <c r="B122" s="131">
        <v>0.85821803326820401</v>
      </c>
      <c r="C122" s="132">
        <v>0.85821803326820401</v>
      </c>
      <c r="D122" s="131">
        <v>0.81943471085973096</v>
      </c>
      <c r="E122" s="132">
        <v>0.81943471085973096</v>
      </c>
      <c r="F122" s="131">
        <v>0.81609605728138401</v>
      </c>
      <c r="G122" s="133">
        <v>0.81609605728138401</v>
      </c>
    </row>
    <row r="123" spans="1:7">
      <c r="A123" s="124">
        <v>119</v>
      </c>
      <c r="B123" s="131">
        <v>0.877513269363418</v>
      </c>
      <c r="C123" s="132">
        <v>0.877513269363418</v>
      </c>
      <c r="D123" s="131">
        <v>0.842034474700047</v>
      </c>
      <c r="E123" s="132">
        <v>0.842034474700047</v>
      </c>
      <c r="F123" s="131">
        <v>0.83888485944110902</v>
      </c>
      <c r="G123" s="133">
        <v>0.83888485944110902</v>
      </c>
    </row>
    <row r="124" spans="1:7">
      <c r="A124" s="134">
        <v>120</v>
      </c>
      <c r="B124" s="135">
        <v>0.894981800828624</v>
      </c>
      <c r="C124" s="136">
        <v>0.894981800828624</v>
      </c>
      <c r="D124" s="135">
        <v>0.862609501888704</v>
      </c>
      <c r="E124" s="136">
        <v>0.862609501888704</v>
      </c>
      <c r="F124" s="135">
        <v>0.85966921170240196</v>
      </c>
      <c r="G124" s="137">
        <v>0.85966921170240196</v>
      </c>
    </row>
    <row r="125" spans="1:7">
      <c r="F125" s="95"/>
      <c r="G125" s="138"/>
    </row>
  </sheetData>
  <mergeCells count="1">
    <mergeCell ref="A1:G1"/>
  </mergeCells>
  <pageMargins left="0.78749999999999998" right="0.78749999999999998" top="0.78749999999999998" bottom="0.78749999999999998" header="9.8611111111111094E-2" footer="9.8611111111111094E-2"/>
  <pageSetup paperSize="0" scale="0" orientation="portrait" usePrinterDefaults="0" useFirstPageNumber="1" horizontalDpi="0" verticalDpi="0" copies="0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21"/>
  <sheetViews>
    <sheetView topLeftCell="A115" zoomScaleNormal="100" workbookViewId="0">
      <selection activeCell="C8" sqref="C8"/>
    </sheetView>
  </sheetViews>
  <sheetFormatPr baseColWidth="10" defaultColWidth="9.140625" defaultRowHeight="12.75"/>
  <cols>
    <col min="1" max="1" width="8.140625"/>
    <col min="2" max="7" width="8" style="13"/>
    <col min="8" max="41" width="11.42578125"/>
  </cols>
  <sheetData>
    <row r="1" spans="1:7" ht="51.95" customHeight="1">
      <c r="A1" s="1" t="s">
        <v>79</v>
      </c>
      <c r="B1" s="1"/>
      <c r="C1" s="1"/>
      <c r="D1" s="1"/>
      <c r="E1" s="1"/>
      <c r="F1" s="1"/>
      <c r="G1" s="1"/>
    </row>
    <row r="2" spans="1:7">
      <c r="A2" s="33"/>
      <c r="B2" s="33"/>
      <c r="C2"/>
      <c r="D2"/>
      <c r="E2"/>
      <c r="F2"/>
      <c r="G2"/>
    </row>
    <row r="3" spans="1:7">
      <c r="A3" s="139" t="s">
        <v>11</v>
      </c>
      <c r="B3" s="139" t="s">
        <v>80</v>
      </c>
      <c r="C3" s="139" t="s">
        <v>81</v>
      </c>
      <c r="D3" s="139" t="s">
        <v>82</v>
      </c>
      <c r="E3" s="139" t="s">
        <v>83</v>
      </c>
      <c r="F3" s="139" t="s">
        <v>84</v>
      </c>
      <c r="G3" s="139" t="s">
        <v>85</v>
      </c>
    </row>
    <row r="4" spans="1:7">
      <c r="A4" s="140">
        <v>1905</v>
      </c>
      <c r="B4" s="141">
        <v>4</v>
      </c>
      <c r="C4" s="142">
        <v>4</v>
      </c>
      <c r="D4" s="141">
        <v>5</v>
      </c>
      <c r="E4" s="142">
        <v>5</v>
      </c>
      <c r="F4" s="30"/>
      <c r="G4" s="31"/>
    </row>
    <row r="5" spans="1:7">
      <c r="A5" s="143">
        <v>1906</v>
      </c>
      <c r="B5" s="144">
        <v>4</v>
      </c>
      <c r="C5" s="145">
        <v>4</v>
      </c>
      <c r="D5" s="144">
        <v>5</v>
      </c>
      <c r="E5" s="145">
        <v>5</v>
      </c>
      <c r="F5" s="28"/>
      <c r="G5" s="29"/>
    </row>
    <row r="6" spans="1:7">
      <c r="A6" s="143">
        <v>1907</v>
      </c>
      <c r="B6" s="144">
        <v>4</v>
      </c>
      <c r="C6" s="145">
        <v>4</v>
      </c>
      <c r="D6" s="144">
        <v>5</v>
      </c>
      <c r="E6" s="145">
        <v>5</v>
      </c>
      <c r="F6" s="28"/>
      <c r="G6" s="29"/>
    </row>
    <row r="7" spans="1:7">
      <c r="A7" s="143">
        <v>1908</v>
      </c>
      <c r="B7" s="144">
        <v>4</v>
      </c>
      <c r="C7" s="145">
        <v>4</v>
      </c>
      <c r="D7" s="144">
        <v>5</v>
      </c>
      <c r="E7" s="145">
        <v>5</v>
      </c>
      <c r="F7" s="28"/>
      <c r="G7" s="29"/>
    </row>
    <row r="8" spans="1:7">
      <c r="A8" s="143">
        <v>1909</v>
      </c>
      <c r="B8" s="144">
        <v>4</v>
      </c>
      <c r="C8" s="145">
        <v>4</v>
      </c>
      <c r="D8" s="144">
        <v>5</v>
      </c>
      <c r="E8" s="145">
        <v>5</v>
      </c>
      <c r="F8" s="28"/>
      <c r="G8" s="29"/>
    </row>
    <row r="9" spans="1:7">
      <c r="A9" s="143">
        <v>1910</v>
      </c>
      <c r="B9" s="144">
        <v>4</v>
      </c>
      <c r="C9" s="145">
        <v>4</v>
      </c>
      <c r="D9" s="144">
        <v>5</v>
      </c>
      <c r="E9" s="145">
        <v>5</v>
      </c>
      <c r="F9" s="28"/>
      <c r="G9" s="29"/>
    </row>
    <row r="10" spans="1:7">
      <c r="A10" s="143">
        <v>1911</v>
      </c>
      <c r="B10" s="144">
        <v>4</v>
      </c>
      <c r="C10" s="145">
        <v>4</v>
      </c>
      <c r="D10" s="144">
        <v>5</v>
      </c>
      <c r="E10" s="145">
        <v>5</v>
      </c>
      <c r="F10" s="28"/>
      <c r="G10" s="29"/>
    </row>
    <row r="11" spans="1:7">
      <c r="A11" s="143">
        <v>1912</v>
      </c>
      <c r="B11" s="144">
        <v>4</v>
      </c>
      <c r="C11" s="145">
        <v>4</v>
      </c>
      <c r="D11" s="144">
        <v>5</v>
      </c>
      <c r="E11" s="145">
        <v>5</v>
      </c>
      <c r="F11" s="28"/>
      <c r="G11" s="29"/>
    </row>
    <row r="12" spans="1:7">
      <c r="A12" s="143">
        <v>1913</v>
      </c>
      <c r="B12" s="144">
        <v>4</v>
      </c>
      <c r="C12" s="145">
        <v>4</v>
      </c>
      <c r="D12" s="144">
        <v>5</v>
      </c>
      <c r="E12" s="145">
        <v>5</v>
      </c>
      <c r="F12" s="28"/>
      <c r="G12" s="29"/>
    </row>
    <row r="13" spans="1:7">
      <c r="A13" s="143">
        <v>1914</v>
      </c>
      <c r="B13" s="144">
        <v>4</v>
      </c>
      <c r="C13" s="145">
        <v>4</v>
      </c>
      <c r="D13" s="144">
        <v>5</v>
      </c>
      <c r="E13" s="145">
        <v>5</v>
      </c>
      <c r="F13" s="28"/>
      <c r="G13" s="29"/>
    </row>
    <row r="14" spans="1:7">
      <c r="A14" s="143">
        <v>1915</v>
      </c>
      <c r="B14" s="144">
        <v>4</v>
      </c>
      <c r="C14" s="145">
        <v>4</v>
      </c>
      <c r="D14" s="144">
        <v>5</v>
      </c>
      <c r="E14" s="145">
        <v>5</v>
      </c>
      <c r="F14" s="28"/>
      <c r="G14" s="29"/>
    </row>
    <row r="15" spans="1:7">
      <c r="A15" s="143">
        <v>1916</v>
      </c>
      <c r="B15" s="144">
        <v>4</v>
      </c>
      <c r="C15" s="145">
        <v>4</v>
      </c>
      <c r="D15" s="144">
        <v>5</v>
      </c>
      <c r="E15" s="145">
        <v>5</v>
      </c>
      <c r="F15" s="28"/>
      <c r="G15" s="29"/>
    </row>
    <row r="16" spans="1:7">
      <c r="A16" s="143">
        <v>1917</v>
      </c>
      <c r="B16" s="144">
        <v>4</v>
      </c>
      <c r="C16" s="145">
        <v>4</v>
      </c>
      <c r="D16" s="144">
        <v>5</v>
      </c>
      <c r="E16" s="145">
        <v>5</v>
      </c>
      <c r="F16" s="28"/>
      <c r="G16" s="29"/>
    </row>
    <row r="17" spans="1:7">
      <c r="A17" s="143">
        <v>1918</v>
      </c>
      <c r="B17" s="144">
        <v>4</v>
      </c>
      <c r="C17" s="145">
        <v>4</v>
      </c>
      <c r="D17" s="146">
        <v>5</v>
      </c>
      <c r="E17" s="145">
        <v>5</v>
      </c>
      <c r="F17" s="28"/>
      <c r="G17" s="29"/>
    </row>
    <row r="18" spans="1:7">
      <c r="A18" s="143">
        <v>1919</v>
      </c>
      <c r="B18" s="144">
        <v>4</v>
      </c>
      <c r="C18" s="145">
        <v>4</v>
      </c>
      <c r="D18" s="146">
        <v>5</v>
      </c>
      <c r="E18" s="147">
        <v>5</v>
      </c>
      <c r="F18" s="28"/>
      <c r="G18" s="29"/>
    </row>
    <row r="19" spans="1:7">
      <c r="A19" s="143">
        <v>1920</v>
      </c>
      <c r="B19" s="146">
        <v>4</v>
      </c>
      <c r="C19" s="147">
        <v>4</v>
      </c>
      <c r="D19" s="146">
        <v>5</v>
      </c>
      <c r="E19" s="147">
        <v>5</v>
      </c>
      <c r="F19" s="28"/>
      <c r="G19" s="29"/>
    </row>
    <row r="20" spans="1:7">
      <c r="A20" s="143">
        <v>1921</v>
      </c>
      <c r="B20" s="146">
        <v>4</v>
      </c>
      <c r="C20" s="147">
        <v>4</v>
      </c>
      <c r="D20" s="146">
        <v>5</v>
      </c>
      <c r="E20" s="147">
        <v>5</v>
      </c>
      <c r="F20" s="28"/>
      <c r="G20" s="29"/>
    </row>
    <row r="21" spans="1:7">
      <c r="A21" s="143">
        <v>1922</v>
      </c>
      <c r="B21" s="146">
        <v>4</v>
      </c>
      <c r="C21" s="147">
        <v>4</v>
      </c>
      <c r="D21" s="146">
        <v>4</v>
      </c>
      <c r="E21" s="147">
        <v>5</v>
      </c>
      <c r="F21" s="28"/>
      <c r="G21" s="29"/>
    </row>
    <row r="22" spans="1:7">
      <c r="A22" s="143">
        <v>1923</v>
      </c>
      <c r="B22" s="146">
        <v>4</v>
      </c>
      <c r="C22" s="147">
        <v>4</v>
      </c>
      <c r="D22" s="146">
        <v>4</v>
      </c>
      <c r="E22" s="147">
        <v>5</v>
      </c>
      <c r="F22" s="28"/>
      <c r="G22" s="29"/>
    </row>
    <row r="23" spans="1:7">
      <c r="A23" s="143">
        <v>1924</v>
      </c>
      <c r="B23" s="146">
        <v>4</v>
      </c>
      <c r="C23" s="147">
        <v>4</v>
      </c>
      <c r="D23" s="146">
        <v>4</v>
      </c>
      <c r="E23" s="147">
        <v>5</v>
      </c>
      <c r="F23" s="28"/>
      <c r="G23" s="29"/>
    </row>
    <row r="24" spans="1:7">
      <c r="A24" s="143">
        <v>1925</v>
      </c>
      <c r="B24" s="146">
        <v>4</v>
      </c>
      <c r="C24" s="147">
        <v>4</v>
      </c>
      <c r="D24" s="146">
        <v>4</v>
      </c>
      <c r="E24" s="147">
        <v>4</v>
      </c>
      <c r="F24" s="28"/>
      <c r="G24" s="29"/>
    </row>
    <row r="25" spans="1:7">
      <c r="A25" s="143">
        <v>1926</v>
      </c>
      <c r="B25" s="146">
        <v>4</v>
      </c>
      <c r="C25" s="147">
        <v>4</v>
      </c>
      <c r="D25" s="146">
        <v>4</v>
      </c>
      <c r="E25" s="147">
        <v>4</v>
      </c>
      <c r="F25" s="28"/>
      <c r="G25" s="29"/>
    </row>
    <row r="26" spans="1:7">
      <c r="A26" s="143">
        <v>1927</v>
      </c>
      <c r="B26" s="146">
        <v>4</v>
      </c>
      <c r="C26" s="147">
        <v>4</v>
      </c>
      <c r="D26" s="146">
        <v>4</v>
      </c>
      <c r="E26" s="147">
        <v>4</v>
      </c>
      <c r="F26" s="28"/>
      <c r="G26" s="29"/>
    </row>
    <row r="27" spans="1:7">
      <c r="A27" s="143">
        <v>1928</v>
      </c>
      <c r="B27" s="146">
        <v>4</v>
      </c>
      <c r="C27" s="147">
        <v>4</v>
      </c>
      <c r="D27" s="146">
        <v>4</v>
      </c>
      <c r="E27" s="147">
        <v>4</v>
      </c>
      <c r="F27" s="28"/>
      <c r="G27" s="29"/>
    </row>
    <row r="28" spans="1:7">
      <c r="A28" s="143">
        <v>1929</v>
      </c>
      <c r="B28" s="146">
        <v>4</v>
      </c>
      <c r="C28" s="147">
        <v>4</v>
      </c>
      <c r="D28" s="146">
        <v>4</v>
      </c>
      <c r="E28" s="147">
        <v>4</v>
      </c>
      <c r="F28" s="28"/>
      <c r="G28" s="29"/>
    </row>
    <row r="29" spans="1:7">
      <c r="A29" s="143">
        <v>1930</v>
      </c>
      <c r="B29" s="146">
        <v>4</v>
      </c>
      <c r="C29" s="147">
        <v>4</v>
      </c>
      <c r="D29" s="146">
        <v>4</v>
      </c>
      <c r="E29" s="147">
        <v>4</v>
      </c>
      <c r="F29" s="28">
        <v>5</v>
      </c>
      <c r="G29" s="29">
        <v>5</v>
      </c>
    </row>
    <row r="30" spans="1:7">
      <c r="A30" s="143">
        <v>1931</v>
      </c>
      <c r="B30" s="146">
        <v>4</v>
      </c>
      <c r="C30" s="147">
        <v>4</v>
      </c>
      <c r="D30" s="146">
        <v>4</v>
      </c>
      <c r="E30" s="147">
        <v>4</v>
      </c>
      <c r="F30" s="28">
        <v>5</v>
      </c>
      <c r="G30" s="29">
        <v>5</v>
      </c>
    </row>
    <row r="31" spans="1:7">
      <c r="A31" s="143">
        <v>1932</v>
      </c>
      <c r="B31" s="146">
        <v>4</v>
      </c>
      <c r="C31" s="147">
        <v>4</v>
      </c>
      <c r="D31" s="146">
        <v>4</v>
      </c>
      <c r="E31" s="147">
        <v>4</v>
      </c>
      <c r="F31" s="28">
        <v>4</v>
      </c>
      <c r="G31" s="29">
        <v>5</v>
      </c>
    </row>
    <row r="32" spans="1:7">
      <c r="A32" s="143">
        <v>1933</v>
      </c>
      <c r="B32" s="146">
        <v>4</v>
      </c>
      <c r="C32" s="147">
        <v>4</v>
      </c>
      <c r="D32" s="146">
        <v>4</v>
      </c>
      <c r="E32" s="147">
        <v>4</v>
      </c>
      <c r="F32" s="28">
        <v>4</v>
      </c>
      <c r="G32" s="29">
        <v>5</v>
      </c>
    </row>
    <row r="33" spans="1:7">
      <c r="A33" s="143">
        <v>1934</v>
      </c>
      <c r="B33" s="146">
        <v>4</v>
      </c>
      <c r="C33" s="147">
        <v>4</v>
      </c>
      <c r="D33" s="146">
        <v>4</v>
      </c>
      <c r="E33" s="147">
        <v>4</v>
      </c>
      <c r="F33" s="28">
        <v>4</v>
      </c>
      <c r="G33" s="29">
        <v>5</v>
      </c>
    </row>
    <row r="34" spans="1:7">
      <c r="A34" s="143">
        <v>1935</v>
      </c>
      <c r="B34" s="146">
        <v>4</v>
      </c>
      <c r="C34" s="147">
        <v>4</v>
      </c>
      <c r="D34" s="146">
        <v>4</v>
      </c>
      <c r="E34" s="147">
        <v>4</v>
      </c>
      <c r="F34" s="28">
        <v>4</v>
      </c>
      <c r="G34" s="29">
        <v>4</v>
      </c>
    </row>
    <row r="35" spans="1:7">
      <c r="A35" s="143">
        <v>1936</v>
      </c>
      <c r="B35" s="146">
        <v>4</v>
      </c>
      <c r="C35" s="147">
        <v>4</v>
      </c>
      <c r="D35" s="146">
        <v>3</v>
      </c>
      <c r="E35" s="147">
        <v>4</v>
      </c>
      <c r="F35" s="28">
        <v>4</v>
      </c>
      <c r="G35" s="29">
        <v>4</v>
      </c>
    </row>
    <row r="36" spans="1:7">
      <c r="A36" s="143">
        <v>1937</v>
      </c>
      <c r="B36" s="146">
        <v>4</v>
      </c>
      <c r="C36" s="147">
        <v>4</v>
      </c>
      <c r="D36" s="146">
        <v>3</v>
      </c>
      <c r="E36" s="147">
        <v>4</v>
      </c>
      <c r="F36" s="28">
        <v>4</v>
      </c>
      <c r="G36" s="29">
        <v>4</v>
      </c>
    </row>
    <row r="37" spans="1:7">
      <c r="A37" s="143">
        <v>1938</v>
      </c>
      <c r="B37" s="146">
        <v>3</v>
      </c>
      <c r="C37" s="147">
        <v>4</v>
      </c>
      <c r="D37" s="146">
        <v>3</v>
      </c>
      <c r="E37" s="147">
        <v>3</v>
      </c>
      <c r="F37" s="28">
        <v>4</v>
      </c>
      <c r="G37" s="29">
        <v>4</v>
      </c>
    </row>
    <row r="38" spans="1:7">
      <c r="A38" s="143">
        <v>1939</v>
      </c>
      <c r="B38" s="146">
        <v>3</v>
      </c>
      <c r="C38" s="147">
        <v>4</v>
      </c>
      <c r="D38" s="146">
        <v>3</v>
      </c>
      <c r="E38" s="147">
        <v>3</v>
      </c>
      <c r="F38" s="28">
        <v>4</v>
      </c>
      <c r="G38" s="29">
        <v>4</v>
      </c>
    </row>
    <row r="39" spans="1:7">
      <c r="A39" s="143">
        <v>1940</v>
      </c>
      <c r="B39" s="146">
        <v>3</v>
      </c>
      <c r="C39" s="147">
        <v>4</v>
      </c>
      <c r="D39" s="146">
        <v>3</v>
      </c>
      <c r="E39" s="147">
        <v>3</v>
      </c>
      <c r="F39" s="28">
        <v>4</v>
      </c>
      <c r="G39" s="29">
        <v>4</v>
      </c>
    </row>
    <row r="40" spans="1:7">
      <c r="A40" s="143">
        <v>1941</v>
      </c>
      <c r="B40" s="146">
        <v>3</v>
      </c>
      <c r="C40" s="147">
        <v>3</v>
      </c>
      <c r="D40" s="146">
        <v>3</v>
      </c>
      <c r="E40" s="147">
        <v>3</v>
      </c>
      <c r="F40" s="28">
        <v>4</v>
      </c>
      <c r="G40" s="29">
        <v>4</v>
      </c>
    </row>
    <row r="41" spans="1:7">
      <c r="A41" s="143">
        <v>1942</v>
      </c>
      <c r="B41" s="146">
        <v>3</v>
      </c>
      <c r="C41" s="147">
        <v>3</v>
      </c>
      <c r="D41" s="146">
        <v>3</v>
      </c>
      <c r="E41" s="147">
        <v>3</v>
      </c>
      <c r="F41" s="28">
        <v>4</v>
      </c>
      <c r="G41" s="29">
        <v>4</v>
      </c>
    </row>
    <row r="42" spans="1:7">
      <c r="A42" s="143">
        <v>1943</v>
      </c>
      <c r="B42" s="146">
        <v>3</v>
      </c>
      <c r="C42" s="147">
        <v>3</v>
      </c>
      <c r="D42" s="146">
        <v>3</v>
      </c>
      <c r="E42" s="147">
        <v>3</v>
      </c>
      <c r="F42" s="28">
        <v>4</v>
      </c>
      <c r="G42" s="29">
        <v>4</v>
      </c>
    </row>
    <row r="43" spans="1:7">
      <c r="A43" s="143">
        <v>1944</v>
      </c>
      <c r="B43" s="146">
        <v>3</v>
      </c>
      <c r="C43" s="147">
        <v>3</v>
      </c>
      <c r="D43" s="146">
        <v>3</v>
      </c>
      <c r="E43" s="147">
        <v>3</v>
      </c>
      <c r="F43" s="28">
        <v>4</v>
      </c>
      <c r="G43" s="29">
        <v>4</v>
      </c>
    </row>
    <row r="44" spans="1:7">
      <c r="A44" s="143">
        <v>1945</v>
      </c>
      <c r="B44" s="146">
        <v>3</v>
      </c>
      <c r="C44" s="147">
        <v>3</v>
      </c>
      <c r="D44" s="146">
        <v>3</v>
      </c>
      <c r="E44" s="147">
        <v>3</v>
      </c>
      <c r="F44" s="28">
        <v>4</v>
      </c>
      <c r="G44" s="29">
        <v>4</v>
      </c>
    </row>
    <row r="45" spans="1:7">
      <c r="A45" s="143">
        <v>1946</v>
      </c>
      <c r="B45" s="146">
        <v>3</v>
      </c>
      <c r="C45" s="147">
        <v>3</v>
      </c>
      <c r="D45" s="146">
        <v>2</v>
      </c>
      <c r="E45" s="147">
        <v>2</v>
      </c>
      <c r="F45" s="28">
        <v>3</v>
      </c>
      <c r="G45" s="29">
        <v>4</v>
      </c>
    </row>
    <row r="46" spans="1:7">
      <c r="A46" s="143">
        <v>1947</v>
      </c>
      <c r="B46" s="146">
        <v>2</v>
      </c>
      <c r="C46" s="147">
        <v>3</v>
      </c>
      <c r="D46" s="146">
        <v>2</v>
      </c>
      <c r="E46" s="147">
        <v>2</v>
      </c>
      <c r="F46" s="28">
        <v>3</v>
      </c>
      <c r="G46" s="29">
        <v>4</v>
      </c>
    </row>
    <row r="47" spans="1:7">
      <c r="A47" s="143">
        <v>1948</v>
      </c>
      <c r="B47" s="146">
        <v>2</v>
      </c>
      <c r="C47" s="147">
        <v>2</v>
      </c>
      <c r="D47" s="146">
        <v>2</v>
      </c>
      <c r="E47" s="147">
        <v>2</v>
      </c>
      <c r="F47" s="28">
        <v>3</v>
      </c>
      <c r="G47" s="29">
        <v>3</v>
      </c>
    </row>
    <row r="48" spans="1:7">
      <c r="A48" s="143">
        <v>1949</v>
      </c>
      <c r="B48" s="146">
        <v>2</v>
      </c>
      <c r="C48" s="147">
        <v>2</v>
      </c>
      <c r="D48" s="146">
        <v>2</v>
      </c>
      <c r="E48" s="147">
        <v>2</v>
      </c>
      <c r="F48" s="28">
        <v>3</v>
      </c>
      <c r="G48" s="29">
        <v>3</v>
      </c>
    </row>
    <row r="49" spans="1:7">
      <c r="A49" s="143">
        <v>1950</v>
      </c>
      <c r="B49" s="146">
        <v>2</v>
      </c>
      <c r="C49" s="147">
        <v>2</v>
      </c>
      <c r="D49" s="146">
        <v>2</v>
      </c>
      <c r="E49" s="147">
        <v>2</v>
      </c>
      <c r="F49" s="28">
        <v>3</v>
      </c>
      <c r="G49" s="29">
        <v>3</v>
      </c>
    </row>
    <row r="50" spans="1:7">
      <c r="A50" s="143">
        <v>1951</v>
      </c>
      <c r="B50" s="146">
        <v>2</v>
      </c>
      <c r="C50" s="147">
        <v>2</v>
      </c>
      <c r="D50" s="146">
        <v>2</v>
      </c>
      <c r="E50" s="147">
        <v>2</v>
      </c>
      <c r="F50" s="28">
        <v>3</v>
      </c>
      <c r="G50" s="29">
        <v>3</v>
      </c>
    </row>
    <row r="51" spans="1:7">
      <c r="A51" s="143">
        <v>1952</v>
      </c>
      <c r="B51" s="146">
        <v>2</v>
      </c>
      <c r="C51" s="147">
        <v>2</v>
      </c>
      <c r="D51" s="146">
        <v>2</v>
      </c>
      <c r="E51" s="147">
        <v>2</v>
      </c>
      <c r="F51" s="28">
        <v>3</v>
      </c>
      <c r="G51" s="29">
        <v>3</v>
      </c>
    </row>
    <row r="52" spans="1:7">
      <c r="A52" s="143">
        <v>1953</v>
      </c>
      <c r="B52" s="146">
        <v>2</v>
      </c>
      <c r="C52" s="147">
        <v>2</v>
      </c>
      <c r="D52" s="146">
        <v>1</v>
      </c>
      <c r="E52" s="147">
        <v>2</v>
      </c>
      <c r="F52" s="28">
        <v>3</v>
      </c>
      <c r="G52" s="29">
        <v>3</v>
      </c>
    </row>
    <row r="53" spans="1:7">
      <c r="A53" s="143">
        <v>1954</v>
      </c>
      <c r="B53" s="146">
        <v>1</v>
      </c>
      <c r="C53" s="147">
        <v>2</v>
      </c>
      <c r="D53" s="146">
        <v>1</v>
      </c>
      <c r="E53" s="147">
        <v>1</v>
      </c>
      <c r="F53" s="28">
        <v>2</v>
      </c>
      <c r="G53" s="29">
        <v>3</v>
      </c>
    </row>
    <row r="54" spans="1:7">
      <c r="A54" s="143">
        <v>1955</v>
      </c>
      <c r="B54" s="146">
        <v>1</v>
      </c>
      <c r="C54" s="147">
        <v>1</v>
      </c>
      <c r="D54" s="146">
        <v>1</v>
      </c>
      <c r="E54" s="147">
        <v>1</v>
      </c>
      <c r="F54" s="28">
        <v>2</v>
      </c>
      <c r="G54" s="29">
        <v>2</v>
      </c>
    </row>
    <row r="55" spans="1:7">
      <c r="A55" s="143">
        <v>1956</v>
      </c>
      <c r="B55" s="146">
        <v>1</v>
      </c>
      <c r="C55" s="147">
        <v>1</v>
      </c>
      <c r="D55" s="146">
        <v>1</v>
      </c>
      <c r="E55" s="147">
        <v>1</v>
      </c>
      <c r="F55" s="28">
        <v>2</v>
      </c>
      <c r="G55" s="29">
        <v>2</v>
      </c>
    </row>
    <row r="56" spans="1:7">
      <c r="A56" s="143">
        <v>1957</v>
      </c>
      <c r="B56" s="146">
        <v>1</v>
      </c>
      <c r="C56" s="147">
        <v>1</v>
      </c>
      <c r="D56" s="146">
        <v>1</v>
      </c>
      <c r="E56" s="147">
        <v>1</v>
      </c>
      <c r="F56" s="28">
        <v>2</v>
      </c>
      <c r="G56" s="29">
        <v>2</v>
      </c>
    </row>
    <row r="57" spans="1:7">
      <c r="A57" s="143">
        <v>1958</v>
      </c>
      <c r="B57" s="146">
        <v>1</v>
      </c>
      <c r="C57" s="147">
        <v>1</v>
      </c>
      <c r="D57" s="146">
        <v>1</v>
      </c>
      <c r="E57" s="147">
        <v>1</v>
      </c>
      <c r="F57" s="28">
        <v>2</v>
      </c>
      <c r="G57" s="29">
        <v>2</v>
      </c>
    </row>
    <row r="58" spans="1:7">
      <c r="A58" s="143">
        <v>1959</v>
      </c>
      <c r="B58" s="146">
        <v>1</v>
      </c>
      <c r="C58" s="147">
        <v>1</v>
      </c>
      <c r="D58" s="146">
        <v>1</v>
      </c>
      <c r="E58" s="147">
        <v>1</v>
      </c>
      <c r="F58" s="28">
        <v>2</v>
      </c>
      <c r="G58" s="29">
        <v>2</v>
      </c>
    </row>
    <row r="59" spans="1:7">
      <c r="A59" s="143">
        <v>1960</v>
      </c>
      <c r="B59" s="146">
        <v>1</v>
      </c>
      <c r="C59" s="147">
        <v>1</v>
      </c>
      <c r="D59" s="146">
        <v>1</v>
      </c>
      <c r="E59" s="147">
        <v>1</v>
      </c>
      <c r="F59" s="28">
        <v>2</v>
      </c>
      <c r="G59" s="29">
        <v>2</v>
      </c>
    </row>
    <row r="60" spans="1:7">
      <c r="A60" s="143">
        <v>1961</v>
      </c>
      <c r="B60" s="146">
        <v>1</v>
      </c>
      <c r="C60" s="147">
        <v>1</v>
      </c>
      <c r="D60" s="146">
        <v>0</v>
      </c>
      <c r="E60" s="147">
        <v>0</v>
      </c>
      <c r="F60" s="28">
        <v>1</v>
      </c>
      <c r="G60" s="29">
        <v>2</v>
      </c>
    </row>
    <row r="61" spans="1:7">
      <c r="A61" s="143">
        <v>1962</v>
      </c>
      <c r="B61" s="146">
        <v>0</v>
      </c>
      <c r="C61" s="147">
        <v>0</v>
      </c>
      <c r="D61" s="146">
        <v>0</v>
      </c>
      <c r="E61" s="147">
        <v>0</v>
      </c>
      <c r="F61" s="28">
        <v>1</v>
      </c>
      <c r="G61" s="29">
        <v>1</v>
      </c>
    </row>
    <row r="62" spans="1:7">
      <c r="A62" s="143">
        <v>1963</v>
      </c>
      <c r="B62" s="146">
        <v>0</v>
      </c>
      <c r="C62" s="147">
        <v>0</v>
      </c>
      <c r="D62" s="146">
        <v>0</v>
      </c>
      <c r="E62" s="147">
        <v>0</v>
      </c>
      <c r="F62" s="28">
        <v>1</v>
      </c>
      <c r="G62" s="29">
        <v>1</v>
      </c>
    </row>
    <row r="63" spans="1:7">
      <c r="A63" s="143">
        <v>1964</v>
      </c>
      <c r="B63" s="146">
        <v>0</v>
      </c>
      <c r="C63" s="147">
        <v>0</v>
      </c>
      <c r="D63" s="146">
        <v>0</v>
      </c>
      <c r="E63" s="147">
        <v>0</v>
      </c>
      <c r="F63" s="28">
        <v>1</v>
      </c>
      <c r="G63" s="29">
        <v>1</v>
      </c>
    </row>
    <row r="64" spans="1:7">
      <c r="A64" s="143">
        <v>1965</v>
      </c>
      <c r="B64" s="146">
        <v>0</v>
      </c>
      <c r="C64" s="147">
        <v>0</v>
      </c>
      <c r="D64" s="146">
        <v>0</v>
      </c>
      <c r="E64" s="147">
        <v>0</v>
      </c>
      <c r="F64" s="28">
        <v>1</v>
      </c>
      <c r="G64" s="29">
        <v>1</v>
      </c>
    </row>
    <row r="65" spans="1:7">
      <c r="A65" s="143">
        <v>1966</v>
      </c>
      <c r="B65" s="146">
        <v>0</v>
      </c>
      <c r="C65" s="147">
        <v>0</v>
      </c>
      <c r="D65" s="146">
        <v>0</v>
      </c>
      <c r="E65" s="147">
        <v>0</v>
      </c>
      <c r="F65" s="28">
        <v>1</v>
      </c>
      <c r="G65" s="29">
        <v>1</v>
      </c>
    </row>
    <row r="66" spans="1:7">
      <c r="A66" s="143">
        <v>1967</v>
      </c>
      <c r="B66" s="146">
        <v>0</v>
      </c>
      <c r="C66" s="147">
        <v>0</v>
      </c>
      <c r="D66" s="146">
        <v>0</v>
      </c>
      <c r="E66" s="147">
        <v>0</v>
      </c>
      <c r="F66" s="28">
        <v>1</v>
      </c>
      <c r="G66" s="29">
        <v>1</v>
      </c>
    </row>
    <row r="67" spans="1:7">
      <c r="A67" s="143">
        <v>1968</v>
      </c>
      <c r="B67" s="146">
        <v>0</v>
      </c>
      <c r="C67" s="147">
        <v>0</v>
      </c>
      <c r="D67" s="146">
        <v>0</v>
      </c>
      <c r="E67" s="147">
        <v>0</v>
      </c>
      <c r="F67" s="28">
        <v>1</v>
      </c>
      <c r="G67" s="29">
        <v>1</v>
      </c>
    </row>
    <row r="68" spans="1:7">
      <c r="A68" s="143">
        <v>1969</v>
      </c>
      <c r="B68" s="146">
        <v>0</v>
      </c>
      <c r="C68" s="147">
        <v>-1</v>
      </c>
      <c r="D68" s="146">
        <v>0</v>
      </c>
      <c r="E68" s="147">
        <v>0</v>
      </c>
      <c r="F68" s="28">
        <v>0</v>
      </c>
      <c r="G68" s="29">
        <v>0</v>
      </c>
    </row>
    <row r="69" spans="1:7">
      <c r="A69" s="143">
        <v>1970</v>
      </c>
      <c r="B69" s="146">
        <v>-1</v>
      </c>
      <c r="C69" s="147">
        <v>-1</v>
      </c>
      <c r="D69" s="146">
        <v>-1</v>
      </c>
      <c r="E69" s="147">
        <v>-1</v>
      </c>
      <c r="F69" s="28">
        <v>0</v>
      </c>
      <c r="G69" s="29">
        <v>0</v>
      </c>
    </row>
    <row r="70" spans="1:7">
      <c r="A70" s="143">
        <v>1971</v>
      </c>
      <c r="B70" s="146">
        <v>-1</v>
      </c>
      <c r="C70" s="147">
        <v>-1</v>
      </c>
      <c r="D70" s="146">
        <v>-1</v>
      </c>
      <c r="E70" s="147">
        <v>-1</v>
      </c>
      <c r="F70" s="28">
        <v>0</v>
      </c>
      <c r="G70" s="29">
        <v>0</v>
      </c>
    </row>
    <row r="71" spans="1:7">
      <c r="A71" s="143">
        <v>1972</v>
      </c>
      <c r="B71" s="146">
        <v>-1</v>
      </c>
      <c r="C71" s="147">
        <v>-1</v>
      </c>
      <c r="D71" s="146">
        <v>-1</v>
      </c>
      <c r="E71" s="147">
        <v>-1</v>
      </c>
      <c r="F71" s="28">
        <v>0</v>
      </c>
      <c r="G71" s="29">
        <v>0</v>
      </c>
    </row>
    <row r="72" spans="1:7">
      <c r="A72" s="143">
        <v>1973</v>
      </c>
      <c r="B72" s="146">
        <v>-1</v>
      </c>
      <c r="C72" s="147">
        <v>-1</v>
      </c>
      <c r="D72" s="146">
        <v>-1</v>
      </c>
      <c r="E72" s="147">
        <v>-1</v>
      </c>
      <c r="F72" s="28">
        <v>0</v>
      </c>
      <c r="G72" s="29">
        <v>0</v>
      </c>
    </row>
    <row r="73" spans="1:7">
      <c r="A73" s="143">
        <v>1974</v>
      </c>
      <c r="B73" s="146">
        <v>-1</v>
      </c>
      <c r="C73" s="147">
        <v>-1</v>
      </c>
      <c r="D73" s="146">
        <v>-1</v>
      </c>
      <c r="E73" s="147">
        <v>-1</v>
      </c>
      <c r="F73" s="28">
        <v>0</v>
      </c>
      <c r="G73" s="29">
        <v>0</v>
      </c>
    </row>
    <row r="74" spans="1:7">
      <c r="A74" s="143">
        <v>1975</v>
      </c>
      <c r="B74" s="146">
        <v>-1</v>
      </c>
      <c r="C74" s="147">
        <v>-1</v>
      </c>
      <c r="D74" s="146">
        <v>-1</v>
      </c>
      <c r="E74" s="147">
        <v>-1</v>
      </c>
      <c r="F74" s="28">
        <v>0</v>
      </c>
      <c r="G74" s="29">
        <v>0</v>
      </c>
    </row>
    <row r="75" spans="1:7">
      <c r="A75" s="143">
        <v>1976</v>
      </c>
      <c r="B75" s="146">
        <v>-1</v>
      </c>
      <c r="C75" s="147">
        <v>-1</v>
      </c>
      <c r="D75" s="146">
        <v>-1</v>
      </c>
      <c r="E75" s="147">
        <v>-1</v>
      </c>
      <c r="F75" s="28">
        <v>0</v>
      </c>
      <c r="G75" s="29">
        <v>-1</v>
      </c>
    </row>
    <row r="76" spans="1:7">
      <c r="A76" s="143">
        <v>1977</v>
      </c>
      <c r="B76" s="146">
        <v>-1</v>
      </c>
      <c r="C76" s="147">
        <v>-1</v>
      </c>
      <c r="D76" s="146">
        <v>-1</v>
      </c>
      <c r="E76" s="147">
        <v>-1</v>
      </c>
      <c r="F76" s="28">
        <v>-1</v>
      </c>
      <c r="G76" s="29">
        <v>-1</v>
      </c>
    </row>
    <row r="77" spans="1:7">
      <c r="A77" s="143">
        <v>1978</v>
      </c>
      <c r="B77" s="146">
        <v>-1</v>
      </c>
      <c r="C77" s="147">
        <v>-2</v>
      </c>
      <c r="D77" s="146">
        <v>-1</v>
      </c>
      <c r="E77" s="147">
        <v>-1</v>
      </c>
      <c r="F77" s="28">
        <v>-1</v>
      </c>
      <c r="G77" s="29">
        <v>-1</v>
      </c>
    </row>
    <row r="78" spans="1:7">
      <c r="A78" s="143">
        <v>1979</v>
      </c>
      <c r="B78" s="146">
        <v>-2</v>
      </c>
      <c r="C78" s="147">
        <v>-2</v>
      </c>
      <c r="D78" s="146">
        <v>-1</v>
      </c>
      <c r="E78" s="147">
        <v>-1</v>
      </c>
      <c r="F78" s="28">
        <v>-1</v>
      </c>
      <c r="G78" s="29">
        <v>-1</v>
      </c>
    </row>
    <row r="79" spans="1:7">
      <c r="A79" s="143">
        <v>1980</v>
      </c>
      <c r="B79" s="146">
        <v>-2</v>
      </c>
      <c r="C79" s="147">
        <v>-2</v>
      </c>
      <c r="D79" s="146">
        <v>-1</v>
      </c>
      <c r="E79" s="147">
        <v>-2</v>
      </c>
      <c r="F79" s="28">
        <v>-1</v>
      </c>
      <c r="G79" s="29">
        <v>-1</v>
      </c>
    </row>
    <row r="80" spans="1:7">
      <c r="A80" s="143">
        <v>1981</v>
      </c>
      <c r="B80" s="146">
        <v>-2</v>
      </c>
      <c r="C80" s="147">
        <v>-2</v>
      </c>
      <c r="D80" s="146">
        <v>-2</v>
      </c>
      <c r="E80" s="147">
        <v>-2</v>
      </c>
      <c r="F80" s="28">
        <v>-1</v>
      </c>
      <c r="G80" s="29">
        <v>-1</v>
      </c>
    </row>
    <row r="81" spans="1:7">
      <c r="A81" s="143">
        <v>1982</v>
      </c>
      <c r="B81" s="146">
        <v>-2</v>
      </c>
      <c r="C81" s="147">
        <v>-2</v>
      </c>
      <c r="D81" s="146">
        <v>-2</v>
      </c>
      <c r="E81" s="147">
        <v>-2</v>
      </c>
      <c r="F81" s="28">
        <v>-1</v>
      </c>
      <c r="G81" s="29">
        <v>-1</v>
      </c>
    </row>
    <row r="82" spans="1:7">
      <c r="A82" s="143">
        <v>1983</v>
      </c>
      <c r="B82" s="146">
        <v>-2</v>
      </c>
      <c r="C82" s="147">
        <v>-2</v>
      </c>
      <c r="D82" s="146">
        <v>-2</v>
      </c>
      <c r="E82" s="147">
        <v>-2</v>
      </c>
      <c r="F82" s="28">
        <v>-1</v>
      </c>
      <c r="G82" s="29">
        <v>-1</v>
      </c>
    </row>
    <row r="83" spans="1:7">
      <c r="A83" s="143">
        <v>1984</v>
      </c>
      <c r="B83" s="146">
        <v>-2</v>
      </c>
      <c r="C83" s="147">
        <v>-2</v>
      </c>
      <c r="D83" s="146">
        <v>-2</v>
      </c>
      <c r="E83" s="147">
        <v>-2</v>
      </c>
      <c r="F83" s="28">
        <v>-1</v>
      </c>
      <c r="G83" s="29">
        <v>-1</v>
      </c>
    </row>
    <row r="84" spans="1:7">
      <c r="A84" s="143">
        <v>1985</v>
      </c>
      <c r="B84" s="146">
        <v>-2</v>
      </c>
      <c r="C84" s="147">
        <v>-2</v>
      </c>
      <c r="D84" s="146">
        <v>-2</v>
      </c>
      <c r="E84" s="147">
        <v>-2</v>
      </c>
      <c r="F84" s="28">
        <v>-2</v>
      </c>
      <c r="G84" s="29">
        <v>-2</v>
      </c>
    </row>
    <row r="85" spans="1:7">
      <c r="A85" s="143">
        <v>1986</v>
      </c>
      <c r="B85" s="146">
        <v>-2</v>
      </c>
      <c r="C85" s="147">
        <v>-2</v>
      </c>
      <c r="D85" s="146">
        <v>-2</v>
      </c>
      <c r="E85" s="147">
        <v>-2</v>
      </c>
      <c r="F85" s="28">
        <v>-2</v>
      </c>
      <c r="G85" s="29">
        <v>-2</v>
      </c>
    </row>
    <row r="86" spans="1:7">
      <c r="A86" s="143">
        <v>1987</v>
      </c>
      <c r="B86" s="146">
        <v>-2</v>
      </c>
      <c r="C86" s="147">
        <v>-2</v>
      </c>
      <c r="D86" s="146">
        <v>-2</v>
      </c>
      <c r="E86" s="147">
        <v>-2</v>
      </c>
      <c r="F86" s="28">
        <v>-2</v>
      </c>
      <c r="G86" s="29">
        <v>-2</v>
      </c>
    </row>
    <row r="87" spans="1:7">
      <c r="A87" s="143">
        <v>1988</v>
      </c>
      <c r="B87" s="146">
        <v>-2</v>
      </c>
      <c r="C87" s="147">
        <v>-3</v>
      </c>
      <c r="D87" s="146">
        <v>-2</v>
      </c>
      <c r="E87" s="147">
        <v>-2</v>
      </c>
      <c r="F87" s="28">
        <v>-2</v>
      </c>
      <c r="G87" s="29">
        <v>-2</v>
      </c>
    </row>
    <row r="88" spans="1:7">
      <c r="A88" s="143">
        <v>1989</v>
      </c>
      <c r="B88" s="146">
        <v>-2</v>
      </c>
      <c r="C88" s="147">
        <v>-3</v>
      </c>
      <c r="D88" s="146">
        <v>-2</v>
      </c>
      <c r="E88" s="147">
        <v>-2</v>
      </c>
      <c r="F88" s="28">
        <v>-2</v>
      </c>
      <c r="G88" s="29">
        <v>-2</v>
      </c>
    </row>
    <row r="89" spans="1:7">
      <c r="A89" s="143">
        <v>1990</v>
      </c>
      <c r="B89" s="146">
        <v>-3</v>
      </c>
      <c r="C89" s="147">
        <v>-3</v>
      </c>
      <c r="D89" s="146">
        <v>-2</v>
      </c>
      <c r="E89" s="147">
        <v>-2</v>
      </c>
      <c r="F89" s="28">
        <v>-2</v>
      </c>
      <c r="G89" s="29">
        <v>-2</v>
      </c>
    </row>
    <row r="90" spans="1:7">
      <c r="A90" s="143">
        <v>1991</v>
      </c>
      <c r="B90" s="146">
        <v>-3</v>
      </c>
      <c r="C90" s="147">
        <v>-3</v>
      </c>
      <c r="D90" s="146">
        <v>-2</v>
      </c>
      <c r="E90" s="147">
        <v>-2</v>
      </c>
      <c r="F90" s="28">
        <v>-2</v>
      </c>
      <c r="G90" s="29">
        <v>-2</v>
      </c>
    </row>
    <row r="91" spans="1:7">
      <c r="A91" s="143">
        <v>1992</v>
      </c>
      <c r="B91" s="146">
        <v>-3</v>
      </c>
      <c r="C91" s="147">
        <v>-3</v>
      </c>
      <c r="D91" s="146">
        <v>-2</v>
      </c>
      <c r="E91" s="147">
        <v>-3</v>
      </c>
      <c r="F91" s="28">
        <v>-2</v>
      </c>
      <c r="G91" s="29">
        <v>-2</v>
      </c>
    </row>
    <row r="92" spans="1:7">
      <c r="A92" s="143">
        <v>1993</v>
      </c>
      <c r="B92" s="146">
        <v>-3</v>
      </c>
      <c r="C92" s="147">
        <v>-3</v>
      </c>
      <c r="D92" s="146">
        <v>-2</v>
      </c>
      <c r="E92" s="147">
        <v>-3</v>
      </c>
      <c r="F92" s="28">
        <v>-2</v>
      </c>
      <c r="G92" s="29">
        <v>-2</v>
      </c>
    </row>
    <row r="93" spans="1:7">
      <c r="A93" s="143">
        <v>1994</v>
      </c>
      <c r="B93" s="146">
        <v>-3</v>
      </c>
      <c r="C93" s="147">
        <v>-3</v>
      </c>
      <c r="D93" s="146">
        <v>-3</v>
      </c>
      <c r="E93" s="147">
        <v>-3</v>
      </c>
      <c r="F93" s="28">
        <v>-2</v>
      </c>
      <c r="G93" s="29">
        <v>-3</v>
      </c>
    </row>
    <row r="94" spans="1:7">
      <c r="A94" s="143">
        <v>1995</v>
      </c>
      <c r="B94" s="146">
        <v>-3</v>
      </c>
      <c r="C94" s="147">
        <v>-3</v>
      </c>
      <c r="D94" s="146">
        <v>-3</v>
      </c>
      <c r="E94" s="147">
        <v>-3</v>
      </c>
      <c r="F94" s="28">
        <v>-3</v>
      </c>
      <c r="G94" s="29">
        <v>-3</v>
      </c>
    </row>
    <row r="95" spans="1:7">
      <c r="A95" s="143">
        <v>1996</v>
      </c>
      <c r="B95" s="146">
        <v>-3</v>
      </c>
      <c r="C95" s="147">
        <v>-3</v>
      </c>
      <c r="D95" s="146">
        <v>-3</v>
      </c>
      <c r="E95" s="147">
        <v>-3</v>
      </c>
      <c r="F95" s="28">
        <v>-3</v>
      </c>
      <c r="G95" s="29">
        <v>-3</v>
      </c>
    </row>
    <row r="96" spans="1:7">
      <c r="A96" s="143">
        <v>1997</v>
      </c>
      <c r="B96" s="146">
        <v>-3</v>
      </c>
      <c r="C96" s="147">
        <v>-3</v>
      </c>
      <c r="D96" s="146">
        <v>-3</v>
      </c>
      <c r="E96" s="147">
        <v>-3</v>
      </c>
      <c r="F96" s="28">
        <v>-3</v>
      </c>
      <c r="G96" s="29">
        <v>-3</v>
      </c>
    </row>
    <row r="97" spans="1:7">
      <c r="A97" s="143">
        <v>1998</v>
      </c>
      <c r="B97" s="146">
        <v>-3</v>
      </c>
      <c r="C97" s="147">
        <v>-3</v>
      </c>
      <c r="D97" s="146">
        <v>-3</v>
      </c>
      <c r="E97" s="147">
        <v>-3</v>
      </c>
      <c r="F97" s="28">
        <v>-3</v>
      </c>
      <c r="G97" s="29">
        <v>-3</v>
      </c>
    </row>
    <row r="98" spans="1:7">
      <c r="A98" s="143">
        <v>1999</v>
      </c>
      <c r="B98" s="146">
        <v>-3</v>
      </c>
      <c r="C98" s="147">
        <v>-3</v>
      </c>
      <c r="D98" s="146">
        <v>-3</v>
      </c>
      <c r="E98" s="147">
        <v>-3</v>
      </c>
      <c r="F98" s="28">
        <v>-3</v>
      </c>
      <c r="G98" s="29">
        <v>-3</v>
      </c>
    </row>
    <row r="99" spans="1:7">
      <c r="A99" s="143">
        <v>2000</v>
      </c>
      <c r="B99" s="146">
        <v>-3</v>
      </c>
      <c r="C99" s="147">
        <v>-4</v>
      </c>
      <c r="D99" s="146">
        <v>-3</v>
      </c>
      <c r="E99" s="147">
        <v>-3</v>
      </c>
      <c r="F99" s="28">
        <v>-3</v>
      </c>
      <c r="G99" s="29">
        <v>-3</v>
      </c>
    </row>
    <row r="100" spans="1:7">
      <c r="A100" s="143">
        <v>2001</v>
      </c>
      <c r="B100" s="146">
        <v>-3</v>
      </c>
      <c r="C100" s="147">
        <v>-4</v>
      </c>
      <c r="D100" s="146">
        <v>-3</v>
      </c>
      <c r="E100" s="147">
        <v>-3</v>
      </c>
      <c r="F100" s="28">
        <v>-3</v>
      </c>
      <c r="G100" s="29">
        <v>-3</v>
      </c>
    </row>
    <row r="101" spans="1:7">
      <c r="A101" s="143">
        <v>2002</v>
      </c>
      <c r="B101" s="146">
        <v>-3</v>
      </c>
      <c r="C101" s="147">
        <v>-4</v>
      </c>
      <c r="D101" s="146">
        <v>-3</v>
      </c>
      <c r="E101" s="147">
        <v>-3</v>
      </c>
      <c r="F101" s="28">
        <v>-3</v>
      </c>
      <c r="G101" s="29">
        <v>-3</v>
      </c>
    </row>
    <row r="102" spans="1:7">
      <c r="A102" s="143">
        <v>2003</v>
      </c>
      <c r="B102" s="146">
        <v>-4</v>
      </c>
      <c r="C102" s="147">
        <v>-4</v>
      </c>
      <c r="D102" s="146">
        <v>-3</v>
      </c>
      <c r="E102" s="147">
        <v>-3</v>
      </c>
      <c r="F102" s="28">
        <v>-3</v>
      </c>
      <c r="G102" s="29">
        <v>-3</v>
      </c>
    </row>
    <row r="103" spans="1:7">
      <c r="A103" s="143">
        <v>2004</v>
      </c>
      <c r="B103" s="146">
        <v>-4</v>
      </c>
      <c r="C103" s="147">
        <v>-4</v>
      </c>
      <c r="D103" s="146">
        <v>-3</v>
      </c>
      <c r="E103" s="147">
        <v>-3</v>
      </c>
      <c r="F103" s="28">
        <v>-3</v>
      </c>
      <c r="G103" s="29">
        <v>-4</v>
      </c>
    </row>
    <row r="104" spans="1:7">
      <c r="A104" s="143">
        <v>2005</v>
      </c>
      <c r="B104" s="146">
        <v>-4</v>
      </c>
      <c r="C104" s="147">
        <v>-4</v>
      </c>
      <c r="D104" s="146">
        <v>-3</v>
      </c>
      <c r="E104" s="147">
        <v>-3</v>
      </c>
      <c r="F104" s="28">
        <v>-3</v>
      </c>
      <c r="G104" s="29">
        <v>-4</v>
      </c>
    </row>
    <row r="105" spans="1:7">
      <c r="A105" s="143">
        <v>2006</v>
      </c>
      <c r="B105" s="146">
        <v>-4</v>
      </c>
      <c r="C105" s="147">
        <v>-4</v>
      </c>
      <c r="D105" s="146">
        <v>-3</v>
      </c>
      <c r="E105" s="147">
        <v>-3</v>
      </c>
      <c r="F105" s="28">
        <v>-4</v>
      </c>
      <c r="G105" s="29">
        <v>-4</v>
      </c>
    </row>
    <row r="106" spans="1:7">
      <c r="A106" s="143">
        <v>2007</v>
      </c>
      <c r="B106" s="146">
        <v>-4</v>
      </c>
      <c r="C106" s="147">
        <v>-4</v>
      </c>
      <c r="D106" s="146">
        <v>-3</v>
      </c>
      <c r="E106" s="147">
        <v>-3</v>
      </c>
      <c r="F106" s="28">
        <v>-4</v>
      </c>
      <c r="G106" s="29">
        <v>-4</v>
      </c>
    </row>
    <row r="107" spans="1:7">
      <c r="A107" s="143">
        <v>2008</v>
      </c>
      <c r="B107" s="146">
        <v>-4</v>
      </c>
      <c r="C107" s="147">
        <v>-4</v>
      </c>
      <c r="D107" s="146">
        <v>-3</v>
      </c>
      <c r="E107" s="147">
        <v>-4</v>
      </c>
      <c r="F107" s="28">
        <v>-4</v>
      </c>
      <c r="G107" s="29">
        <v>-4</v>
      </c>
    </row>
    <row r="108" spans="1:7">
      <c r="A108" s="143">
        <v>2009</v>
      </c>
      <c r="B108" s="146">
        <v>-4</v>
      </c>
      <c r="C108" s="147">
        <v>-4</v>
      </c>
      <c r="D108" s="146">
        <v>-3</v>
      </c>
      <c r="E108" s="147">
        <v>-4</v>
      </c>
      <c r="F108" s="28">
        <v>-4</v>
      </c>
      <c r="G108" s="29">
        <v>-4</v>
      </c>
    </row>
    <row r="109" spans="1:7">
      <c r="A109" s="143">
        <v>2010</v>
      </c>
      <c r="B109" s="146">
        <v>-4</v>
      </c>
      <c r="C109" s="147">
        <v>-4</v>
      </c>
      <c r="D109" s="146">
        <v>-3</v>
      </c>
      <c r="E109" s="147">
        <v>-4</v>
      </c>
      <c r="F109" s="28">
        <v>-4</v>
      </c>
      <c r="G109" s="29">
        <v>-4</v>
      </c>
    </row>
    <row r="110" spans="1:7">
      <c r="A110" s="143">
        <v>2011</v>
      </c>
      <c r="B110" s="146">
        <v>-4</v>
      </c>
      <c r="C110" s="147">
        <v>-4</v>
      </c>
      <c r="D110" s="146">
        <v>-4</v>
      </c>
      <c r="E110" s="147">
        <v>-4</v>
      </c>
      <c r="F110" s="28">
        <v>-4</v>
      </c>
      <c r="G110" s="29">
        <v>-4</v>
      </c>
    </row>
    <row r="111" spans="1:7">
      <c r="A111" s="143">
        <v>2012</v>
      </c>
      <c r="B111" s="146">
        <v>-4</v>
      </c>
      <c r="C111" s="147">
        <v>-4</v>
      </c>
      <c r="D111" s="146">
        <v>-4</v>
      </c>
      <c r="E111" s="147">
        <v>-4</v>
      </c>
      <c r="F111" s="28">
        <v>-4</v>
      </c>
      <c r="G111" s="29">
        <v>-4</v>
      </c>
    </row>
    <row r="112" spans="1:7">
      <c r="A112" s="143">
        <v>2013</v>
      </c>
      <c r="B112" s="146">
        <v>-4</v>
      </c>
      <c r="C112" s="147">
        <v>-4</v>
      </c>
      <c r="D112" s="146">
        <v>-4</v>
      </c>
      <c r="E112" s="147">
        <v>-4</v>
      </c>
      <c r="F112" s="28">
        <v>-4</v>
      </c>
      <c r="G112" s="29">
        <v>-4</v>
      </c>
    </row>
    <row r="113" spans="1:7">
      <c r="A113" s="143">
        <v>2014</v>
      </c>
      <c r="B113" s="146">
        <v>-4</v>
      </c>
      <c r="C113" s="147">
        <v>-4</v>
      </c>
      <c r="D113" s="146">
        <v>-4</v>
      </c>
      <c r="E113" s="147">
        <v>-4</v>
      </c>
      <c r="F113" s="28">
        <v>-4</v>
      </c>
      <c r="G113" s="29">
        <v>-4</v>
      </c>
    </row>
    <row r="114" spans="1:7">
      <c r="A114" s="143">
        <v>2015</v>
      </c>
      <c r="B114" s="146">
        <v>-4</v>
      </c>
      <c r="C114" s="147">
        <v>-5</v>
      </c>
      <c r="D114" s="146">
        <v>-4</v>
      </c>
      <c r="E114" s="147">
        <v>-4</v>
      </c>
      <c r="F114" s="28">
        <v>-4</v>
      </c>
      <c r="G114" s="29">
        <v>-5</v>
      </c>
    </row>
    <row r="115" spans="1:7">
      <c r="A115" s="143">
        <v>2016</v>
      </c>
      <c r="B115" s="146">
        <v>-4</v>
      </c>
      <c r="C115" s="147">
        <v>-5</v>
      </c>
      <c r="D115" s="146">
        <v>-4</v>
      </c>
      <c r="E115" s="147">
        <v>-4</v>
      </c>
      <c r="F115" s="28">
        <v>-4</v>
      </c>
      <c r="G115" s="29">
        <v>-5</v>
      </c>
    </row>
    <row r="116" spans="1:7">
      <c r="A116" s="143">
        <v>2017</v>
      </c>
      <c r="B116" s="146">
        <v>-4</v>
      </c>
      <c r="C116" s="147">
        <v>-5</v>
      </c>
      <c r="D116" s="146">
        <v>-4</v>
      </c>
      <c r="E116" s="147">
        <v>-4</v>
      </c>
      <c r="F116" s="28">
        <v>-4</v>
      </c>
      <c r="G116" s="29">
        <v>-5</v>
      </c>
    </row>
    <row r="117" spans="1:7">
      <c r="A117" s="143">
        <v>2018</v>
      </c>
      <c r="B117" s="146">
        <v>-4</v>
      </c>
      <c r="C117" s="147">
        <v>-5</v>
      </c>
      <c r="D117" s="146">
        <v>-4</v>
      </c>
      <c r="E117" s="147">
        <v>-4</v>
      </c>
      <c r="F117" s="28">
        <v>-5</v>
      </c>
      <c r="G117" s="29">
        <v>-5</v>
      </c>
    </row>
    <row r="118" spans="1:7">
      <c r="A118" s="143">
        <v>2019</v>
      </c>
      <c r="B118" s="146">
        <v>-4</v>
      </c>
      <c r="C118" s="147">
        <v>-5</v>
      </c>
      <c r="D118" s="146">
        <v>-4</v>
      </c>
      <c r="E118" s="147">
        <v>-4</v>
      </c>
      <c r="F118" s="28">
        <v>-5</v>
      </c>
      <c r="G118" s="29">
        <v>-5</v>
      </c>
    </row>
    <row r="119" spans="1:7">
      <c r="A119" s="148">
        <v>2020</v>
      </c>
      <c r="B119" s="146">
        <v>-4</v>
      </c>
      <c r="C119" s="147">
        <v>-5</v>
      </c>
      <c r="D119" s="146">
        <v>-4</v>
      </c>
      <c r="E119" s="147">
        <v>-4</v>
      </c>
      <c r="F119" s="28">
        <v>-5</v>
      </c>
      <c r="G119" s="29">
        <v>-5</v>
      </c>
    </row>
    <row r="120" spans="1:7">
      <c r="A120" s="143">
        <v>2021</v>
      </c>
      <c r="B120" s="28"/>
      <c r="C120" s="29"/>
      <c r="D120" s="28"/>
      <c r="E120" s="29"/>
      <c r="F120" s="28">
        <v>-5</v>
      </c>
      <c r="G120" s="29">
        <v>-5</v>
      </c>
    </row>
    <row r="121" spans="1:7">
      <c r="A121" s="148">
        <v>2022</v>
      </c>
      <c r="B121" s="26"/>
      <c r="C121" s="27"/>
      <c r="D121" s="26"/>
      <c r="E121" s="27"/>
      <c r="F121" s="26">
        <v>-5</v>
      </c>
      <c r="G121" s="27">
        <v>-5</v>
      </c>
    </row>
  </sheetData>
  <mergeCells count="1">
    <mergeCell ref="A1:G1"/>
  </mergeCells>
  <pageMargins left="0.78749999999999998" right="0.78749999999999998" top="0.78749999999999998" bottom="0.78749999999999998" header="9.8611111111111094E-2" footer="9.8611111111111094E-2"/>
  <pageSetup paperSize="0" scale="0" firstPageNumber="0" orientation="portrait" usePrinterDefaults="0" horizontalDpi="0" verticalDpi="0" copies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10</vt:i4>
      </vt:variant>
      <vt:variant>
        <vt:lpstr>Benannte Bereiche</vt:lpstr>
      </vt:variant>
      <vt:variant>
        <vt:i4>2</vt:i4>
      </vt:variant>
    </vt:vector>
  </HeadingPairs>
  <TitlesOfParts>
    <vt:vector size="12" baseType="lpstr">
      <vt:lpstr>OeVM59-61 RR67</vt:lpstr>
      <vt:lpstr>EROM-F Basistafeln</vt:lpstr>
      <vt:lpstr>EROM-F G AV</vt:lpstr>
      <vt:lpstr>EROM-F Beispiel</vt:lpstr>
      <vt:lpstr>AVOe 1996R exakt</vt:lpstr>
      <vt:lpstr>AVOe 1996R Beispiel</vt:lpstr>
      <vt:lpstr>AVOe 2005R</vt:lpstr>
      <vt:lpstr>AVOe 2005R Beispiel</vt:lpstr>
      <vt:lpstr>AVOe 2005R AV Basistafel</vt:lpstr>
      <vt:lpstr>AVOe 2005R AV Verschiebung</vt:lpstr>
      <vt:lpstr>'AVOe 2005R'!Druckbereich</vt:lpstr>
      <vt:lpstr>'AVOe 2005R Beispiel'!Druckbereich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Kainhofer Reinhold</cp:lastModifiedBy>
  <cp:revision>96</cp:revision>
  <cp:lastPrinted>2005-06-30T14:08:16Z</cp:lastPrinted>
  <dcterms:created xsi:type="dcterms:W3CDTF">2005-04-01T15:59:30Z</dcterms:created>
  <dcterms:modified xsi:type="dcterms:W3CDTF">2025-12-26T23:12:12Z</dcterms:modified>
  <dc:language>de-AT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_AdHocReviewCycleID">
    <vt:i4>24789354</vt:i4>
  </property>
  <property fmtid="{D5CDD505-2E9C-101B-9397-08002B2CF9AE}" pid="9" name="_AuthorEmail">
    <vt:lpwstr>klaus.wegenkittl@ergo-austria.at</vt:lpwstr>
  </property>
  <property fmtid="{D5CDD505-2E9C-101B-9397-08002B2CF9AE}" pid="10" name="_AuthorEmailDisplayName">
    <vt:lpwstr>Wegenkittl, Klaus, Mag. Dr. (ERGO IS)</vt:lpwstr>
  </property>
  <property fmtid="{D5CDD505-2E9C-101B-9397-08002B2CF9AE}" pid="11" name="_EmailSubject">
    <vt:lpwstr>Rententafel AVÖ 2005 R unisex</vt:lpwstr>
  </property>
  <property fmtid="{D5CDD505-2E9C-101B-9397-08002B2CF9AE}" pid="12" name="_ReviewingToolsShownOnce">
    <vt:lpwstr/>
  </property>
</Properties>
</file>